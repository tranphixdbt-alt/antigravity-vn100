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WiGroup\Hệ thống dữ liệu_Báo cáo\Ngân hàng\Khóa học\"/>
    </mc:Choice>
  </mc:AlternateContent>
  <xr:revisionPtr revIDLastSave="0" documentId="13_ncr:1_{E53179D9-C5D1-4EBD-A8D6-9F8F9471D947}" xr6:coauthVersionLast="47" xr6:coauthVersionMax="47" xr10:uidLastSave="{00000000-0000-0000-0000-000000000000}"/>
  <bookViews>
    <workbookView xWindow="-108" yWindow="-108" windowWidth="23256" windowHeight="12576" xr2:uid="{BC70B608-2D27-F349-AF11-86A055EDE121}"/>
  </bookViews>
  <sheets>
    <sheet name="Cân đối kế toán " sheetId="2" r:id="rId1"/>
    <sheet name="Kết quả kinh doanh " sheetId="3" r:id="rId2"/>
    <sheet name="Thuyết minh" sheetId="4" r:id="rId3"/>
    <sheet name="Số liệu-Phân tích" sheetId="5" state="hidden" r:id="rId4"/>
    <sheet name="Biểu đồ-Phân tích" sheetId="6" r:id="rId5"/>
    <sheet name="CĐKT-F" sheetId="7" r:id="rId6"/>
    <sheet name="KQKD-F" sheetId="8" r:id="rId7"/>
    <sheet name="Định giá" sheetId="9" r:id="rId8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7" l="1"/>
  <c r="D7" i="7"/>
  <c r="E15" i="8"/>
  <c r="E31" i="8"/>
  <c r="F7" i="7"/>
  <c r="F15" i="8"/>
  <c r="F31" i="8"/>
  <c r="C7" i="7"/>
  <c r="D15" i="8"/>
  <c r="D31" i="8"/>
  <c r="D27" i="8"/>
  <c r="E27" i="8"/>
  <c r="F27" i="8"/>
  <c r="C27" i="8"/>
  <c r="C14" i="5"/>
  <c r="D26" i="8"/>
  <c r="E26" i="8"/>
  <c r="F26" i="8"/>
  <c r="C26" i="8"/>
  <c r="C15" i="5"/>
  <c r="G7" i="7"/>
  <c r="H20" i="7"/>
  <c r="H7" i="7"/>
  <c r="F8" i="7"/>
  <c r="G8" i="7"/>
  <c r="H8" i="7"/>
  <c r="F9" i="7"/>
  <c r="G9" i="7"/>
  <c r="H9" i="7"/>
  <c r="F10" i="7"/>
  <c r="G10" i="7"/>
  <c r="H10" i="7"/>
  <c r="H6" i="7"/>
  <c r="F12" i="7"/>
  <c r="G12" i="7"/>
  <c r="H12" i="7"/>
  <c r="F13" i="7"/>
  <c r="G13" i="7"/>
  <c r="H13" i="7"/>
  <c r="F14" i="7"/>
  <c r="G14" i="7"/>
  <c r="H14" i="7"/>
  <c r="F15" i="7"/>
  <c r="G7" i="8"/>
  <c r="G8" i="8"/>
  <c r="G6" i="8"/>
  <c r="F11" i="8"/>
  <c r="G11" i="8"/>
  <c r="F10" i="8"/>
  <c r="G10" i="8"/>
  <c r="F9" i="8"/>
  <c r="G9" i="8"/>
  <c r="G12" i="8"/>
  <c r="F13" i="8"/>
  <c r="G13" i="8"/>
  <c r="G14" i="8"/>
  <c r="G15" i="8"/>
  <c r="G16" i="8"/>
  <c r="G17" i="8"/>
  <c r="G18" i="8"/>
  <c r="F19" i="8"/>
  <c r="G19" i="8"/>
  <c r="G20" i="8"/>
  <c r="G15" i="7"/>
  <c r="H26" i="8"/>
  <c r="H7" i="8"/>
  <c r="H27" i="8"/>
  <c r="H8" i="8"/>
  <c r="H6" i="8"/>
  <c r="H11" i="8"/>
  <c r="H10" i="8"/>
  <c r="H9" i="8"/>
  <c r="H12" i="8"/>
  <c r="H13" i="8"/>
  <c r="H14" i="8"/>
  <c r="H31" i="8"/>
  <c r="H15" i="8"/>
  <c r="H16" i="8"/>
  <c r="H17" i="8"/>
  <c r="H18" i="8"/>
  <c r="H19" i="8"/>
  <c r="H20" i="8"/>
  <c r="H15" i="7"/>
  <c r="H16" i="7"/>
  <c r="I20" i="7"/>
  <c r="I7" i="7"/>
  <c r="I8" i="7"/>
  <c r="I9" i="7"/>
  <c r="I10" i="7"/>
  <c r="I6" i="7"/>
  <c r="I12" i="7"/>
  <c r="I13" i="7"/>
  <c r="I14" i="7"/>
  <c r="I26" i="8"/>
  <c r="I7" i="8"/>
  <c r="I27" i="8"/>
  <c r="I8" i="8"/>
  <c r="I6" i="8"/>
  <c r="I11" i="8"/>
  <c r="I10" i="8"/>
  <c r="I9" i="8"/>
  <c r="I12" i="8"/>
  <c r="I13" i="8"/>
  <c r="I14" i="8"/>
  <c r="I31" i="8"/>
  <c r="I15" i="8"/>
  <c r="I16" i="8"/>
  <c r="I17" i="8"/>
  <c r="I18" i="8"/>
  <c r="I19" i="8"/>
  <c r="I20" i="8"/>
  <c r="I15" i="7"/>
  <c r="I16" i="7"/>
  <c r="J20" i="7"/>
  <c r="J7" i="7"/>
  <c r="J8" i="7"/>
  <c r="J9" i="7"/>
  <c r="J10" i="7"/>
  <c r="J6" i="7"/>
  <c r="J12" i="7"/>
  <c r="J13" i="7"/>
  <c r="J14" i="7"/>
  <c r="J26" i="8"/>
  <c r="J7" i="8"/>
  <c r="J27" i="8"/>
  <c r="J8" i="8"/>
  <c r="J6" i="8"/>
  <c r="J11" i="8"/>
  <c r="J10" i="8"/>
  <c r="J9" i="8"/>
  <c r="J12" i="8"/>
  <c r="J13" i="8"/>
  <c r="J14" i="8"/>
  <c r="J31" i="8"/>
  <c r="J15" i="8"/>
  <c r="J16" i="8"/>
  <c r="J17" i="8"/>
  <c r="J18" i="8"/>
  <c r="J19" i="8"/>
  <c r="J20" i="8"/>
  <c r="J15" i="7"/>
  <c r="J16" i="7"/>
  <c r="K20" i="7"/>
  <c r="K7" i="7"/>
  <c r="K8" i="7"/>
  <c r="K9" i="7"/>
  <c r="K10" i="7"/>
  <c r="K6" i="7"/>
  <c r="K12" i="7"/>
  <c r="K13" i="7"/>
  <c r="K14" i="7"/>
  <c r="K26" i="8"/>
  <c r="K7" i="8"/>
  <c r="K27" i="8"/>
  <c r="K8" i="8"/>
  <c r="K6" i="8"/>
  <c r="K11" i="8"/>
  <c r="K10" i="8"/>
  <c r="K9" i="8"/>
  <c r="K12" i="8"/>
  <c r="K13" i="8"/>
  <c r="K14" i="8"/>
  <c r="K31" i="8"/>
  <c r="K15" i="8"/>
  <c r="K16" i="8"/>
  <c r="K17" i="8"/>
  <c r="K18" i="8"/>
  <c r="K19" i="8"/>
  <c r="K20" i="8"/>
  <c r="K15" i="7"/>
  <c r="K16" i="7"/>
  <c r="G6" i="7"/>
  <c r="G16" i="7"/>
  <c r="F15" i="5"/>
  <c r="E15" i="5"/>
  <c r="D15" i="5"/>
  <c r="F14" i="5"/>
  <c r="E14" i="5"/>
  <c r="D14" i="5"/>
  <c r="A2" i="4"/>
  <c r="A2" i="3"/>
  <c r="C6" i="9"/>
  <c r="C8" i="9"/>
  <c r="C10" i="9"/>
  <c r="C23" i="9"/>
  <c r="D7" i="9"/>
  <c r="D22" i="9"/>
  <c r="H21" i="7"/>
  <c r="H22" i="7"/>
  <c r="H24" i="7"/>
  <c r="H25" i="7"/>
  <c r="H26" i="7"/>
  <c r="E22" i="9"/>
  <c r="I21" i="7"/>
  <c r="I22" i="7"/>
  <c r="I24" i="7"/>
  <c r="I25" i="7"/>
  <c r="I26" i="7"/>
  <c r="F22" i="9"/>
  <c r="J21" i="7"/>
  <c r="J22" i="7"/>
  <c r="J24" i="7"/>
  <c r="J25" i="7"/>
  <c r="J26" i="7"/>
  <c r="G22" i="9"/>
  <c r="K21" i="7"/>
  <c r="K22" i="7"/>
  <c r="K24" i="7"/>
  <c r="K25" i="7"/>
  <c r="K26" i="7"/>
  <c r="H22" i="9"/>
  <c r="F7" i="8"/>
  <c r="F8" i="8"/>
  <c r="F6" i="8"/>
  <c r="F12" i="8"/>
  <c r="F14" i="8"/>
  <c r="F16" i="8"/>
  <c r="F17" i="8"/>
  <c r="F18" i="8"/>
  <c r="F20" i="8"/>
  <c r="C22" i="9"/>
  <c r="D21" i="9"/>
  <c r="E21" i="9"/>
  <c r="F21" i="9"/>
  <c r="G21" i="9"/>
  <c r="H21" i="9"/>
  <c r="C21" i="9"/>
  <c r="D6" i="9"/>
  <c r="C15" i="8"/>
  <c r="D19" i="8"/>
  <c r="E19" i="8"/>
  <c r="C19" i="8"/>
  <c r="D17" i="8"/>
  <c r="E17" i="8"/>
  <c r="C17" i="8"/>
  <c r="D13" i="8"/>
  <c r="E13" i="8"/>
  <c r="C13" i="8"/>
  <c r="D11" i="8"/>
  <c r="E11" i="8"/>
  <c r="C11" i="8"/>
  <c r="D10" i="8"/>
  <c r="E10" i="8"/>
  <c r="C10" i="8"/>
  <c r="D9" i="8"/>
  <c r="E9" i="8"/>
  <c r="C9" i="8"/>
  <c r="D7" i="8"/>
  <c r="E7" i="8"/>
  <c r="D8" i="8"/>
  <c r="E8" i="8"/>
  <c r="C8" i="8"/>
  <c r="C7" i="8"/>
  <c r="D20" i="7"/>
  <c r="E16" i="7"/>
  <c r="F16" i="7"/>
  <c r="D16" i="7"/>
  <c r="C16" i="7"/>
  <c r="D15" i="7"/>
  <c r="E15" i="7"/>
  <c r="C15" i="7"/>
  <c r="E14" i="7"/>
  <c r="D14" i="7"/>
  <c r="C14" i="7"/>
  <c r="D13" i="7"/>
  <c r="E13" i="7"/>
  <c r="C13" i="7"/>
  <c r="D12" i="7"/>
  <c r="E12" i="7"/>
  <c r="C12" i="7"/>
  <c r="D10" i="7"/>
  <c r="E10" i="7"/>
  <c r="C10" i="7"/>
  <c r="D9" i="7"/>
  <c r="E9" i="7"/>
  <c r="C9" i="7"/>
  <c r="D8" i="7"/>
  <c r="E8" i="7"/>
  <c r="C8" i="7"/>
  <c r="C6" i="7"/>
  <c r="H27" i="7"/>
  <c r="I27" i="7"/>
  <c r="J27" i="7"/>
  <c r="K27" i="7"/>
  <c r="F27" i="7"/>
  <c r="E27" i="7"/>
  <c r="D27" i="7"/>
  <c r="F26" i="7"/>
  <c r="E26" i="7"/>
  <c r="D26" i="7"/>
  <c r="F25" i="7"/>
  <c r="E25" i="7"/>
  <c r="D25" i="7"/>
  <c r="F24" i="7"/>
  <c r="E24" i="7"/>
  <c r="D24" i="7"/>
  <c r="H23" i="7"/>
  <c r="I23" i="7"/>
  <c r="J23" i="7"/>
  <c r="K23" i="7"/>
  <c r="F23" i="7"/>
  <c r="E23" i="7"/>
  <c r="D23" i="7"/>
  <c r="F22" i="7"/>
  <c r="E22" i="7"/>
  <c r="D22" i="7"/>
  <c r="F21" i="7"/>
  <c r="E21" i="7"/>
  <c r="D21" i="7"/>
  <c r="F20" i="7"/>
  <c r="E20" i="7"/>
  <c r="D5" i="7"/>
  <c r="E5" i="7"/>
  <c r="F5" i="7"/>
  <c r="G5" i="7"/>
  <c r="H5" i="7"/>
  <c r="I5" i="7"/>
  <c r="J5" i="7"/>
  <c r="K5" i="7"/>
  <c r="K19" i="7"/>
  <c r="J19" i="7"/>
  <c r="I19" i="7"/>
  <c r="H19" i="7"/>
  <c r="G19" i="7"/>
  <c r="F19" i="7"/>
  <c r="E19" i="7"/>
  <c r="D19" i="7"/>
  <c r="C19" i="7"/>
  <c r="L16" i="7"/>
  <c r="L15" i="7"/>
  <c r="L14" i="7"/>
  <c r="L13" i="7"/>
  <c r="L12" i="7"/>
  <c r="K11" i="7"/>
  <c r="F11" i="7"/>
  <c r="L11" i="7"/>
  <c r="J11" i="7"/>
  <c r="I11" i="7"/>
  <c r="H11" i="7"/>
  <c r="G11" i="7"/>
  <c r="E11" i="7"/>
  <c r="D11" i="7"/>
  <c r="C11" i="7"/>
  <c r="L10" i="7"/>
  <c r="L9" i="7"/>
  <c r="L8" i="7"/>
  <c r="L7" i="7"/>
  <c r="F6" i="7"/>
  <c r="L6" i="7"/>
  <c r="E6" i="7"/>
  <c r="D6" i="7"/>
  <c r="L5" i="7"/>
  <c r="D23" i="9"/>
  <c r="D25" i="9"/>
  <c r="D26" i="9"/>
  <c r="C25" i="9"/>
  <c r="D27" i="9"/>
  <c r="D29" i="9"/>
  <c r="E26" i="9"/>
  <c r="E27" i="9"/>
  <c r="E28" i="9"/>
  <c r="E29" i="9"/>
  <c r="F26" i="9"/>
  <c r="E23" i="9"/>
  <c r="E25" i="9"/>
  <c r="F27" i="9"/>
  <c r="F28" i="9"/>
  <c r="F29" i="9"/>
  <c r="G26" i="9"/>
  <c r="F23" i="9"/>
  <c r="F25" i="9"/>
  <c r="G27" i="9"/>
  <c r="G28" i="9"/>
  <c r="G29" i="9"/>
  <c r="H26" i="9"/>
  <c r="G23" i="9"/>
  <c r="G25" i="9"/>
  <c r="H27" i="9"/>
  <c r="H28" i="9"/>
  <c r="H29" i="9"/>
  <c r="D30" i="9"/>
  <c r="D31" i="9"/>
  <c r="D33" i="9"/>
  <c r="C38" i="9"/>
  <c r="E38" i="9"/>
  <c r="D8" i="9"/>
  <c r="D12" i="9"/>
  <c r="C39" i="9"/>
  <c r="E39" i="9"/>
  <c r="E40" i="9"/>
  <c r="H23" i="9"/>
  <c r="H25" i="9"/>
  <c r="H24" i="9"/>
  <c r="G24" i="9"/>
  <c r="F24" i="9"/>
  <c r="E24" i="9"/>
  <c r="D24" i="9"/>
  <c r="C24" i="9"/>
  <c r="D5" i="9"/>
  <c r="C5" i="9"/>
  <c r="H32" i="8"/>
  <c r="I32" i="8"/>
  <c r="J32" i="8"/>
  <c r="K32" i="8"/>
  <c r="F32" i="8"/>
  <c r="E6" i="8"/>
  <c r="E12" i="8"/>
  <c r="E14" i="8"/>
  <c r="E16" i="8"/>
  <c r="E32" i="8"/>
  <c r="D6" i="8"/>
  <c r="D12" i="8"/>
  <c r="D14" i="8"/>
  <c r="D16" i="8"/>
  <c r="D32" i="8"/>
  <c r="C6" i="8"/>
  <c r="C12" i="8"/>
  <c r="C14" i="8"/>
  <c r="C16" i="8"/>
  <c r="C32" i="8"/>
  <c r="H30" i="8"/>
  <c r="I30" i="8"/>
  <c r="J30" i="8"/>
  <c r="K30" i="8"/>
  <c r="F30" i="8"/>
  <c r="E30" i="8"/>
  <c r="D30" i="8"/>
  <c r="H29" i="8"/>
  <c r="I29" i="8"/>
  <c r="J29" i="8"/>
  <c r="K29" i="8"/>
  <c r="F29" i="8"/>
  <c r="E29" i="8"/>
  <c r="D29" i="8"/>
  <c r="H28" i="8"/>
  <c r="I28" i="8"/>
  <c r="J28" i="8"/>
  <c r="K28" i="8"/>
  <c r="F28" i="8"/>
  <c r="E28" i="8"/>
  <c r="D28" i="8"/>
  <c r="D5" i="8"/>
  <c r="E5" i="8"/>
  <c r="F5" i="8"/>
  <c r="G5" i="8"/>
  <c r="H5" i="8"/>
  <c r="I5" i="8"/>
  <c r="J5" i="8"/>
  <c r="K5" i="8"/>
  <c r="K25" i="8"/>
  <c r="J25" i="8"/>
  <c r="I25" i="8"/>
  <c r="H25" i="8"/>
  <c r="G25" i="8"/>
  <c r="F25" i="8"/>
  <c r="E25" i="8"/>
  <c r="D25" i="8"/>
  <c r="C25" i="8"/>
  <c r="L20" i="8"/>
  <c r="E18" i="8"/>
  <c r="E20" i="8"/>
  <c r="D18" i="8"/>
  <c r="D20" i="8"/>
  <c r="C18" i="8"/>
  <c r="C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F22" i="5"/>
  <c r="E22" i="5"/>
  <c r="D22" i="5"/>
  <c r="C22" i="5"/>
  <c r="F21" i="5"/>
  <c r="E21" i="5"/>
  <c r="D21" i="5"/>
  <c r="C21" i="5"/>
  <c r="F20" i="5"/>
  <c r="E20" i="5"/>
  <c r="D20" i="5"/>
  <c r="C20" i="5"/>
  <c r="F19" i="5"/>
  <c r="E19" i="5"/>
  <c r="D19" i="5"/>
  <c r="C19" i="5"/>
  <c r="C18" i="5"/>
  <c r="F18" i="5"/>
  <c r="E18" i="5"/>
  <c r="D18" i="5"/>
  <c r="F17" i="5"/>
  <c r="E17" i="5"/>
  <c r="D17" i="5"/>
  <c r="C17" i="5"/>
  <c r="F16" i="5"/>
  <c r="E16" i="5"/>
  <c r="D16" i="5"/>
  <c r="C16" i="5"/>
  <c r="F13" i="5"/>
  <c r="D13" i="5"/>
  <c r="E13" i="5"/>
  <c r="C13" i="5"/>
  <c r="F12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C7" i="5"/>
  <c r="F8" i="5"/>
  <c r="E8" i="5"/>
  <c r="D8" i="5"/>
  <c r="C8" i="5"/>
  <c r="F7" i="5"/>
  <c r="E7" i="5"/>
  <c r="D7" i="5"/>
  <c r="D6" i="5"/>
  <c r="E6" i="5"/>
  <c r="F6" i="5"/>
  <c r="C6" i="5"/>
  <c r="D5" i="5"/>
  <c r="E5" i="5"/>
  <c r="F5" i="5"/>
  <c r="C5" i="5"/>
  <c r="D4" i="5"/>
  <c r="E4" i="5"/>
  <c r="F4" i="5"/>
  <c r="C4" i="5"/>
</calcChain>
</file>

<file path=xl/sharedStrings.xml><?xml version="1.0" encoding="utf-8"?>
<sst xmlns="http://schemas.openxmlformats.org/spreadsheetml/2006/main" count="450" uniqueCount="401">
  <si>
    <t>BÁO CÁO TÀI CHÍNH NGÂN HÀNG</t>
  </si>
  <si>
    <t>Chọn mã CK</t>
  </si>
  <si>
    <t>BẢNG THUYẾT MINH</t>
  </si>
  <si>
    <t>BẢNG CÂN ĐỐI KẾ TOÁN</t>
  </si>
  <si>
    <t>Năm cuối cùng</t>
  </si>
  <si>
    <t>Đơn vị</t>
  </si>
  <si>
    <t xml:space="preserve">Tỷ đồng </t>
  </si>
  <si>
    <t>BẢNG KẾT QUẢ HOẠT ĐỘNG KINH DOANH</t>
  </si>
  <si>
    <t xml:space="preserve">PHÂN TÍCH CÁC CHỈ SỐ TÀI CHÍNH </t>
  </si>
  <si>
    <t>Tăng trưởng lợi nhuận</t>
  </si>
  <si>
    <t>Tăng trưởng tín dụng</t>
  </si>
  <si>
    <t>Đòn bẩy tài chính A/E</t>
  </si>
  <si>
    <t>Tỷ lệ nợ xấu (NPL)</t>
  </si>
  <si>
    <t>Tỷ lệ nợ quá hạn</t>
  </si>
  <si>
    <t>Tỷ lệ bao phủ nợ xấu (LLR)</t>
  </si>
  <si>
    <t>Dự phòng rủi ro tín dụng/Cho vay</t>
  </si>
  <si>
    <t>Chi phí hoạt động/Thu nhập hoạt động (CIR)</t>
  </si>
  <si>
    <t>Chi phí lãi/Tiền gửi khách hàng</t>
  </si>
  <si>
    <t>Chi phí hoạt động/Tổng tài sản</t>
  </si>
  <si>
    <t>Chi phí vốn (COF)</t>
  </si>
  <si>
    <t>Mức sinh lời trên tài sản (YEA)</t>
  </si>
  <si>
    <t>Chênh lêch lãi suất đầu vào đầu ra (NIM)</t>
  </si>
  <si>
    <t>Tỷ lệ thu nhập thuần từ hoạt động</t>
  </si>
  <si>
    <t>LNST/VCSH (ROE)</t>
  </si>
  <si>
    <t>Tiền gửi không kỳ hạn/Tổng tiền gửi (CASA)</t>
  </si>
  <si>
    <t>Dư nợ cấp tín dụng/Vốn huy động (LDR)</t>
  </si>
  <si>
    <t>Tài sản thanh khoản cao/Tổng tài sản</t>
  </si>
  <si>
    <t>LNST/TTS (ROA)</t>
  </si>
  <si>
    <t>PHẦN 1: PHÂN TÍCH TĂNG TRƯỞNG</t>
  </si>
  <si>
    <t>PHẦN 2: PHÂN TÍCH AN TOÀN VỐN</t>
  </si>
  <si>
    <t>PHẦN 3: PHÂN TÍCH CHẤT LƯỢNG TÀI SẢN</t>
  </si>
  <si>
    <t>PHẦN 4: PHÂN TÍCH HIỆU QUẢ QUẢN TRỊ</t>
  </si>
  <si>
    <t>PHẦN 5: PHÂN TÍCH MỨC SINH LỜI</t>
  </si>
  <si>
    <t>PHẦN 6: PHÂN TÍCH THANH KHOẢN</t>
  </si>
  <si>
    <t>DỰ PHÓNG BẢNG CĐKT</t>
  </si>
  <si>
    <t>Dữ liệu quá khứ</t>
  </si>
  <si>
    <t>Dữ liệu dự phóng</t>
  </si>
  <si>
    <t>CAGR</t>
  </si>
  <si>
    <t>TỔNG TÀI SẢN</t>
  </si>
  <si>
    <t xml:space="preserve">  Cho vay khách hàng</t>
  </si>
  <si>
    <t xml:space="preserve">  Cho vay các TCTD khác</t>
  </si>
  <si>
    <t xml:space="preserve">  Đầu tư</t>
  </si>
  <si>
    <t xml:space="preserve">  Khác</t>
  </si>
  <si>
    <t>NGUỒN VỐN</t>
  </si>
  <si>
    <t xml:space="preserve">  Tiền gửi và vay các TCTD khác</t>
  </si>
  <si>
    <t xml:space="preserve">  Tiền gửi của khách hàng</t>
  </si>
  <si>
    <t xml:space="preserve">  Phát hành giấy tờ có giá</t>
  </si>
  <si>
    <t xml:space="preserve">  Vốn chủ sở hữu</t>
  </si>
  <si>
    <t>Giả định</t>
  </si>
  <si>
    <t>Tăng trưởng CVKH</t>
  </si>
  <si>
    <t>Tăng trưởng CV các TCTD khác</t>
  </si>
  <si>
    <t>Tăng trưởng đầu tư</t>
  </si>
  <si>
    <t>Tăng trưởng khác</t>
  </si>
  <si>
    <t>Tăng trưởng tiền gửi và vay các TCTD khác</t>
  </si>
  <si>
    <t>Tăng trưởng tiền gửi của khách hàng</t>
  </si>
  <si>
    <t>Tăng trưởng phát hành giấy tờ có giá</t>
  </si>
  <si>
    <t>DỰ PHÓNG KQKD</t>
  </si>
  <si>
    <t>Thu nhập lãi thuần</t>
  </si>
  <si>
    <t xml:space="preserve">  Thu nhập lãi và các khoản thu nhập tương tự</t>
  </si>
  <si>
    <t xml:space="preserve">  Chi phí lãi và các chi phí tương tự</t>
  </si>
  <si>
    <t>Lãi thuần từ hoạt động dịch vụ</t>
  </si>
  <si>
    <t>Lãi/Lỗ từ hoạt động đầu tư</t>
  </si>
  <si>
    <t>Lãi/Lỗ từ hoạt động khác</t>
  </si>
  <si>
    <t>Tổng thu nhập hoạt động</t>
  </si>
  <si>
    <t>Chi phí hoạt động</t>
  </si>
  <si>
    <t>Lợi nhuận thuần HDKD trước DPRRTD</t>
  </si>
  <si>
    <t>Chi phí dự phòng rủi ro tín dụng</t>
  </si>
  <si>
    <t>Tổng lợi nhuận trước thuế</t>
  </si>
  <si>
    <t>Chi phí thuế thu nhập doanh nghiệp</t>
  </si>
  <si>
    <t>Lợi nhuận sau thuế</t>
  </si>
  <si>
    <t>Lợi ích của cổ đông thiểu số</t>
  </si>
  <si>
    <t>Lợi nhuận sau thuế Ngân hàng mẹ</t>
  </si>
  <si>
    <t>YEA</t>
  </si>
  <si>
    <t>COF</t>
  </si>
  <si>
    <t>Tăng trưởng thu nhập hoạt động dịch vụ</t>
  </si>
  <si>
    <t>Tăng trưởng thu nhập thuần từ đầu tư</t>
  </si>
  <si>
    <t>Tăng trưởng chi phí hoạt động</t>
  </si>
  <si>
    <t>Tỷ lệ chi phí dự phòng rủi ro tín dụng</t>
  </si>
  <si>
    <t>Tỷ lệ chi phí thuế thu nhập doanh nghiệp</t>
  </si>
  <si>
    <t xml:space="preserve">TỔNG HỢP ĐỊNH GIÁ CỔ PHIẾU </t>
  </si>
  <si>
    <t>ĐỊNH GIÁ P/B</t>
  </si>
  <si>
    <t>ĐỊnh giá P/B</t>
  </si>
  <si>
    <t>Vốn chủ sở hữu (tỷ đồng)</t>
  </si>
  <si>
    <t>Số lượng cổ phiếu đang lưu hành (triệu cp)</t>
  </si>
  <si>
    <t>Giá trị sổ sách (đồng/cp)</t>
  </si>
  <si>
    <t>Giá đóng cửa hiện hành</t>
  </si>
  <si>
    <t>P/B</t>
  </si>
  <si>
    <t>Định giá theo PB</t>
  </si>
  <si>
    <t>ĐỊNH GIÁ THEO MÔ HÌNH RIM</t>
  </si>
  <si>
    <t>Giả định của Mô hình RIM</t>
  </si>
  <si>
    <t>Tốc độ tăng trưởng dài hạn</t>
  </si>
  <si>
    <t xml:space="preserve">Tỷ suất sinh lợi yêu cầu </t>
  </si>
  <si>
    <t>Chỉ tiêu của Mô hình RIM</t>
  </si>
  <si>
    <t>Lợi nhuận sau thuế TNDN (tỷ đồng)</t>
  </si>
  <si>
    <t>Số lượng cổ phiếu lưu hành (triệu cp)</t>
  </si>
  <si>
    <t>EPS - Earnings Per Share (đồng/cp)</t>
  </si>
  <si>
    <t>ROEA (%)</t>
  </si>
  <si>
    <t>RE - Residual Income (đồng/cp)</t>
  </si>
  <si>
    <t>Tỷ lệ chiết khấu lũy kế (lần)</t>
  </si>
  <si>
    <t>PV của RE (đồng)</t>
  </si>
  <si>
    <t>Tổng PV của RE (đồng)</t>
  </si>
  <si>
    <t>PV của giá trị sau giai đoạn dự báo (đồng)</t>
  </si>
  <si>
    <t>Định giá theo Mô hình RIM</t>
  </si>
  <si>
    <t>Phương pháp định giá</t>
  </si>
  <si>
    <t>Giá dự phóng</t>
  </si>
  <si>
    <t xml:space="preserve">Tỷ trọng </t>
  </si>
  <si>
    <t>Giá dự phóng theo tỷ trọng</t>
  </si>
  <si>
    <t>Lợi nhuận thặng dư (RIM)</t>
  </si>
  <si>
    <t>Giá mục tiêu</t>
  </si>
  <si>
    <t>VCB</t>
  </si>
  <si>
    <t>KHU VỰC CHỌN NGÂN HÀNG</t>
  </si>
  <si>
    <t>Ngân hàng TMCP Ngoại thương Việt Nam</t>
  </si>
  <si>
    <t>A. TỔNG TÀI SẢN (đồng) (Y)</t>
  </si>
  <si>
    <t>I. Tiền mặt, vàng bạc, đá quý (đồng) (Y)</t>
  </si>
  <si>
    <t>II. Tiền gửi tại Ngân hàng nhà nước (đồng) (Y)</t>
  </si>
  <si>
    <t>III. Tiền gửi và cho vay các TCTD khác (đồng) (Y)</t>
  </si>
  <si>
    <t>1. Tiền gửi tại các TCTD khác (đồng) (Y)</t>
  </si>
  <si>
    <t>2. Cho vay các TCTD khác (đồng) (Y)</t>
  </si>
  <si>
    <t>3. Dự phòng rủi ro cho vay TCTD khác (đồng) (Y)</t>
  </si>
  <si>
    <t>IV. Chứng khoán kinh doanh ròng (đồng) (Y)</t>
  </si>
  <si>
    <t>1. Chứng khoán kinh doanh (đồng) (Y)</t>
  </si>
  <si>
    <t>2. Dự phòng rủi ro chứng khoán kinh doanh (đồng) (Y)</t>
  </si>
  <si>
    <t>V. Các CCTC phái sinh và TSTC khác (đồng) (Y)</t>
  </si>
  <si>
    <t>VI. Cho vay khách hàng ròng (đồng) (Y)</t>
  </si>
  <si>
    <t>1. Cho vay khách hàng (đồng) (Y)</t>
  </si>
  <si>
    <t>2. Dự phòng rủi ro cho vay khách hàng (đồng) (Y)</t>
  </si>
  <si>
    <t>VII. Chứng khoán đầu tư (đồng) (Y)</t>
  </si>
  <si>
    <t>1. Chứng khoán đầu tư sẵn sàng để bán (đồng) (Y)</t>
  </si>
  <si>
    <t>2. Chứng khoán đầu tư giữ đến ngày đáo hạn (đồng) (Y)</t>
  </si>
  <si>
    <t>3. Dự phòng rủi ro chứng khoán đầu tư (đồng) (Y)</t>
  </si>
  <si>
    <t>VIII. Góp vốn, đầu tư dài hạn (đồng) (Y)</t>
  </si>
  <si>
    <t>1. Đầu tư vào công ty con (đồng) (Y)</t>
  </si>
  <si>
    <t>2. Đầu tư vào công ty liên doanh liên kết (đồng) (Y)</t>
  </si>
  <si>
    <t>3. Đầu tư dài hạn khác (đồng) (Y)</t>
  </si>
  <si>
    <t>4. Dự phòng giảm giá đầu tư dài hạn (đồng) (Y)</t>
  </si>
  <si>
    <t>IX. Tài sản cố định (đồng) (Y)</t>
  </si>
  <si>
    <t>1. Tài sản cố định hữu hình (đồng) (Y)</t>
  </si>
  <si>
    <t>a. Nguyên giá (đồng) (Y)</t>
  </si>
  <si>
    <t>b. Giá trị hao mòn luỹ kế (đồng) (Y)</t>
  </si>
  <si>
    <t>2. Tài sản cố định thuê tài chính (đồng) (Y)</t>
  </si>
  <si>
    <t>3. Tài sản cố định vô hình (đồng) (Y)</t>
  </si>
  <si>
    <t>X. Bất động sản đầu tư (đồng) (Y)</t>
  </si>
  <si>
    <t>1. Nguyên giá (đồng) (Y)</t>
  </si>
  <si>
    <t>2. Giá trị hao mòn luỹ kế (đồng) (Y)</t>
  </si>
  <si>
    <t>XI. Tài sản Có khác (đồng) (Y)</t>
  </si>
  <si>
    <t>1. Các khoản phải thu (đồng) (Y)</t>
  </si>
  <si>
    <t>2. Các khoản lãi, phí phải thu (đồng) (Y)</t>
  </si>
  <si>
    <t>3. Tài sản thuế TNDN hoãn lại (đồng) (Y)</t>
  </si>
  <si>
    <t>4. Tài sản khác (đồng) (Y)</t>
  </si>
  <si>
    <t>5. DPRR cho các tài sản Có nội bảng khác (đồng) (Y)</t>
  </si>
  <si>
    <t>B. TỔNG NỢ PHẢI TRẢ (đồng) (Y)</t>
  </si>
  <si>
    <t>I. Các khoản nợ Chính phủ và NHNN (đồng) (Y)</t>
  </si>
  <si>
    <t>II. Tiền gửi và vay các TCTD khác (đồng) (Y)</t>
  </si>
  <si>
    <t>1. Tiền gửi của các TCTD khác (đồng) (Y)</t>
  </si>
  <si>
    <t>2. Vay các TCTD khác (đồng) (Y)</t>
  </si>
  <si>
    <t>III. Tiền gửi của khách hàng (đồng) (Y)</t>
  </si>
  <si>
    <t>IV. Các CCTC phái sinh và nợ tài chính khác (đồng) (Y)</t>
  </si>
  <si>
    <t>V. Vốn tài trợ, uỷ thác của CP và TCTD khác (đồng) (Y)</t>
  </si>
  <si>
    <t>VI. Phát hành giấy tờ có giá (đồng) (Y)</t>
  </si>
  <si>
    <t>VII. Các khoản nợ khác (đồng) (Y)</t>
  </si>
  <si>
    <t>1. Các khoản lãi, phí phải trả (đồng) (Y)</t>
  </si>
  <si>
    <t>2. Các khoản phải trả và công nợ khác (đồng) (Y)</t>
  </si>
  <si>
    <t>3. Dự phòng rủi ro khác (đồng) (Y)</t>
  </si>
  <si>
    <t>4. Thuế TNDN phải trả (đồng) (Y)</t>
  </si>
  <si>
    <t>5. Thuế TNDN hoãn lại phải trả (đồng) (Y)</t>
  </si>
  <si>
    <t>C. Vốn chủ sở hữu (đồng) (Y)</t>
  </si>
  <si>
    <t>I. Vốn của tổ chức tín dụng (đồng) (Y)</t>
  </si>
  <si>
    <t>1. Vốn điều lệ (đồng) (Y)</t>
  </si>
  <si>
    <t>2. Vốn đầu tư XDCB (đồng) (Y)</t>
  </si>
  <si>
    <t>3. Thặng dư vốn cổ phần (đồng) (Y)</t>
  </si>
  <si>
    <t>4. Cổ phiếu Quỹ (đồng) (Y)</t>
  </si>
  <si>
    <t>5. Cổ phiếu ưu đãi (đồng) (Y)</t>
  </si>
  <si>
    <t>6. Vốn khác (đồng) (Y)</t>
  </si>
  <si>
    <t>II. Quỹ của tổ chức tín dụng (đồng) (Y)</t>
  </si>
  <si>
    <t>III. Chênh lệch đánh giá lại tài sản (đồng) (Y)</t>
  </si>
  <si>
    <t>IV. Chênh lệch tỷ giá hối đoái (đồng) (Y)</t>
  </si>
  <si>
    <t>V. Lợi nhuận chưa phân phối lũy kế (đồng) (Y)</t>
  </si>
  <si>
    <t>VI. Lợi ích của cổ đông thiểu số (đồng) (Y)</t>
  </si>
  <si>
    <t>1. Thu nhập lãi và các khoản thu nhập tương tự (đồng) (Y)</t>
  </si>
  <si>
    <t>2. Chi phí lãi và các chi phí tương tự (đồng) (Y)</t>
  </si>
  <si>
    <t>I. Thu nhập lãi thuần (đồng) (Y)</t>
  </si>
  <si>
    <t>3. Thu nhập từ hoạt động dịch vụ (đồng) (Y)</t>
  </si>
  <si>
    <t>4. Chi phí hoạt động dịch vụ (đồng) (Y)</t>
  </si>
  <si>
    <t>II. Lãi thuần từ hoạt động dịch vụ (đồng) (Y)</t>
  </si>
  <si>
    <t>III. Lãi/(lỗ) thuần từ ngoại hối và vàng (đồng) (Y)</t>
  </si>
  <si>
    <t>IV. Lãi/(lỗ) thuần từ mua bán CKKD (đồng) (Y)</t>
  </si>
  <si>
    <t>V. Lãi/(lỗ) thuần từ mua bán CKĐT (đồng) (Y)</t>
  </si>
  <si>
    <t>5. Thu nhập từ hoạt động khác (đồng) (Y)</t>
  </si>
  <si>
    <t>6. Chi phí hoạt động khác (đồng) (Y)</t>
  </si>
  <si>
    <t>VI. Lãi/(lỗ) thuần từ hoạt động khác (đồng) (Y)</t>
  </si>
  <si>
    <t>VII. Thu nhập từ góp vốn, mua cổ phần (đồng) (Y)</t>
  </si>
  <si>
    <t>VIII. Tổng thu nhập hoạt động (đồng) (Y)</t>
  </si>
  <si>
    <t>IX. Chi phí hoạt động (đồng) (Y)</t>
  </si>
  <si>
    <t>X. Lợi nhuận thuần HDKD trước DPRRTD (đồng) (Y)</t>
  </si>
  <si>
    <t>XI. Chi phí dự phòng rủi ro tín dụng (đồng) (Y)</t>
  </si>
  <si>
    <t>XII. Tổng lợi nhuận trước thuế (đồng) (Y)</t>
  </si>
  <si>
    <t>7. Chi phí thuế TNDN hiện hành (đồng) (Y)</t>
  </si>
  <si>
    <t>8. Chi phí thuế TNDN hoãn lại (đồng) (Y)</t>
  </si>
  <si>
    <t>XIII. Chi phí thuế thu nhập doanh nghiệp (đồng) (Y)</t>
  </si>
  <si>
    <t>XIV. Lợi nhuận sau thuế (đồng) (Y)</t>
  </si>
  <si>
    <t>XV. Lợi ích của cổ đông thiểu số (đồng) (Y)</t>
  </si>
  <si>
    <t>XVI. Lợi nhuận sau thuế Ngân hàng mẹ (đồng) (Y)</t>
  </si>
  <si>
    <t>I. Chứng khoán kinh doanh (đồng) (Y)</t>
  </si>
  <si>
    <t>1. Chứng khoán nợ (đồng) (Y)</t>
  </si>
  <si>
    <t>Chứng khoán Chính phủ (đồng) (Y)</t>
  </si>
  <si>
    <t>Chứng khoán do các TCTD khác trong nước phát hành (đồng) (Y)</t>
  </si>
  <si>
    <t>Chứng khoán do các TCKT trong nước phát hành (đồng) (Y)</t>
  </si>
  <si>
    <t>Chứng khoán nợ khác (đồng) (Y)</t>
  </si>
  <si>
    <t>2. Chứng khoán vốn (đồng) (Y)</t>
  </si>
  <si>
    <t>Chứng khoán vốn do các TCTD khác trong nước phát hành (đồng) (Y)</t>
  </si>
  <si>
    <t>Chứng khoán vốn do các TCKT khác trong nước phát hành (đồng) (Y)</t>
  </si>
  <si>
    <t>Chứng khoán vốn nước ngoài (đồng) (Y)</t>
  </si>
  <si>
    <t>Chứng khoán vốn khác (đồng) (Y)</t>
  </si>
  <si>
    <t>3. Dự phòng rủi ro chứng khoán kinh doanh (đồng) (Y)</t>
  </si>
  <si>
    <t>II. Dư nợ theo đối tượng cho vay (đồng) (Y)</t>
  </si>
  <si>
    <t>1. Cho vay các tổ chức kinh tế, cá nhân trong nước (đồng) (Y)</t>
  </si>
  <si>
    <t>2. Cho vay chiết khấu công cụ chuyển nhượng và các giấy tờ có giá (đồng) (Y)</t>
  </si>
  <si>
    <t>3. Cho thuê tài chính (đồng) (Y)</t>
  </si>
  <si>
    <t>4. Các khoản trả thay khách hàng (đồng) (Y)</t>
  </si>
  <si>
    <t>5. Cho vay đối với các tổ chức, cá nhân nước ngoài (đồng) (Y)</t>
  </si>
  <si>
    <t>6. Cho vay bằng vốn tài trợ, ủy thác đầu tư (đồng) (Y)</t>
  </si>
  <si>
    <t>7. Cho vay theo chỉ định của Chính phủ (đồng) (Y)</t>
  </si>
  <si>
    <t>8. Cho vay giao dịch ký quỹ và ứng trước cho khách hàng - theo khách hàng (đồng) (Y)</t>
  </si>
  <si>
    <t>9. Nợ cho vay được khoanh và nợ chờ xử lý (đồng) (Y)</t>
  </si>
  <si>
    <t>10. Cho vay thấu chi và thẻ tín dụng (đồng) (Y)</t>
  </si>
  <si>
    <t>11. Cấp tín dụng khác (đồng) (Y)</t>
  </si>
  <si>
    <t>III. Dư nợ theo chất lượng nợ cho vay (đồng) (Y)</t>
  </si>
  <si>
    <t>1. Nợ đủ tiêu chuẩn (đồng) (Y)</t>
  </si>
  <si>
    <t>2. Nợ cần chú ý (đồng) (Y)</t>
  </si>
  <si>
    <t>3. Nợ dưới tiêu chuẩn (đồng) (Y)</t>
  </si>
  <si>
    <t>4. Nợ nghi ngờ (đồng) (Y)</t>
  </si>
  <si>
    <t>5. Nợ xấu có khả năng mất vốn (đồng) (Y)</t>
  </si>
  <si>
    <t>6. Cho vay giao dịch ký quỹ (đồng) (Y)</t>
  </si>
  <si>
    <t>IV. Dư nợ theo thời hạn cho vay (đồng) (Y)</t>
  </si>
  <si>
    <t>1. Cho vay ngắn hạn (đồng) (Y)</t>
  </si>
  <si>
    <t>2. Cho vay trung hạn (đồng) (Y)</t>
  </si>
  <si>
    <t>3. Cho vay dài hạn (đồng) (Y)</t>
  </si>
  <si>
    <t>4. Các khoản cho vay giao dịch ký quỹ và ứng trước cho khách hàng - theo thời gian (đồng) (Y)</t>
  </si>
  <si>
    <t>V. Dư nợ theo loại hình doanh nghiệp (đồng) (Y)</t>
  </si>
  <si>
    <t>1. Doanh nghiệp nhà nước (đồng) (Y)</t>
  </si>
  <si>
    <t>2. CTCP khác, Công ty TNHH khác, Doanh nghiệp tư nhân, Công ty hợp danh (đồng) (Y)</t>
  </si>
  <si>
    <t>Công ty TNHH khác (đồng) (Y)</t>
  </si>
  <si>
    <t>Công ty cổ phần khác (đồng) (Y)</t>
  </si>
  <si>
    <t>Doanh nghiệp tư nhân (đồng) (Y)</t>
  </si>
  <si>
    <t>Công ty hợp danh (đồng) (Y)</t>
  </si>
  <si>
    <t>3. Doanh nghiệp có vốn đầu tư nước ngoài (đồng) (Y)</t>
  </si>
  <si>
    <t>4. Cá nhân, hộ kinh doanh (đồng) (Y)</t>
  </si>
  <si>
    <t>5. Hợp tác xã và liên hiệp hợp tác xã (đồng) (Y)</t>
  </si>
  <si>
    <t>6. Đơn vị hành chính sự nghiệp, Đảng, đoàn thể và hiệp hội (đồng) (Y)</t>
  </si>
  <si>
    <t>7. Cho vay tại chi nhánh nước ngoài (đồng) (Y)</t>
  </si>
  <si>
    <t>8. Cho khoản cho vay giao dịch ký quỹ và ứng trước cho khách hàng (đồng) (Y)</t>
  </si>
  <si>
    <t>9. Thành phần kinh tế khác (đồng) (Y)</t>
  </si>
  <si>
    <t>VI. Dư nợ phân theo ngành (đồng) (Y)</t>
  </si>
  <si>
    <t>1. Công nghiệp chế biến, chế tạo (đồng) (Y)</t>
  </si>
  <si>
    <t>2. Sản xuất và phân phối điện, khí đốt và nước (đồng) (Y)</t>
  </si>
  <si>
    <t>3. Xây dựng (đồng) (Y)</t>
  </si>
  <si>
    <t>4. Vận tải kho bãi và thông tin liên lạc (đồng) (Y)</t>
  </si>
  <si>
    <t>Vận tải kho bãi (đồng) (Y)</t>
  </si>
  <si>
    <t>Thông tin liên lạc (đồng) (Y)</t>
  </si>
  <si>
    <t>5. Khai khoáng (đồng) (Y)</t>
  </si>
  <si>
    <t>6. Nông, lâm, thủy hải sản (đồng) (Y)</t>
  </si>
  <si>
    <t>7. Nhà hàng, khách sạn (đồng) (Y)</t>
  </si>
  <si>
    <t>8. Hoạt động tài chính, ngân hàng và bảo hiểm (đồng) (Y)</t>
  </si>
  <si>
    <t>9. Bán buôn và bán lẻ, sửa chữa ô tô, xe máy và xe có động cơ khác (đồng) (Y)</t>
  </si>
  <si>
    <t>10. Cung cấp nước, hoạt động quản lý và xử lý rác thải, nước thải (đồng) (Y)</t>
  </si>
  <si>
    <t>11. Hoạt động làm thuê các công việc trong các hộ gia đình, sản xuất sản phẩm vật chất và dịch vụ tiêu dùng của hộ gia đình (đồng) (Y)</t>
  </si>
  <si>
    <t>12. Hoạt động kinh doanh bất động sản (đồng) (Y)</t>
  </si>
  <si>
    <t>13. Hoạt động hành chính và dịch vụ hỗ trợ (đồng) (Y)</t>
  </si>
  <si>
    <t>14. Hoạt động chuyên môn, khoa học và công nghệ (đồng) (Y)</t>
  </si>
  <si>
    <t>15. Giáo dục đào tạo (đồng) (Y)</t>
  </si>
  <si>
    <t>16. Hoạt động dịch vụ khác/ Thương mại dịch vụ (đồng) (Y)</t>
  </si>
  <si>
    <t>17. Y tế và hoạt động trợ giúp xã hội (đồng) (Y)</t>
  </si>
  <si>
    <t>18. Nghệ thuật, vui chơi, giải trí (đồng) (Y)</t>
  </si>
  <si>
    <t>19. Hoạt động Đảng, tổ chức chính trị - xã hội (đồng) (Y)</t>
  </si>
  <si>
    <t>20. Cho vay giao dịch ký quỹ và ứng trước cho khách hàng - vận tải thông tin liên lạc (đồng) (Y)</t>
  </si>
  <si>
    <t>21. Cho vay tại chi nhánh nước ngoài/ Hoạt động của các tổ chức và cơ quan quốc tế (đồng) (Y)</t>
  </si>
  <si>
    <t>22. Cho vay cá nhân (đồng) (Y)</t>
  </si>
  <si>
    <t>23. Dư nợ khác (đồng) (Y)</t>
  </si>
  <si>
    <t>VII. Dự phòng rủi ro cho vay khách hàng (đồng) (Y)</t>
  </si>
  <si>
    <t>1. Dự phòng chung (đồng) (Y)</t>
  </si>
  <si>
    <t>2. Dự phòng cụ thể (đồng) (Y)</t>
  </si>
  <si>
    <t>3. Dự phòng rủi ro cho vay giao dịch ký quỹ (đồng) (Y)</t>
  </si>
  <si>
    <t>VIII. Chứng khoán đầu tư sẵn sàng để bán (đồng) (Y)</t>
  </si>
  <si>
    <t>3. Dự phòng rủi chứng khoán đầu tư sẵn sàng để bán (đồng) (Y)</t>
  </si>
  <si>
    <t>IX.a. Chứng khoán đầu tư giữ đến ngày đáo hạn (đồng) (Y)</t>
  </si>
  <si>
    <t>2. Dự phòng rủi chứng khoán đầu tư giữ đến ngày đáo hạn (đồng) (Y)</t>
  </si>
  <si>
    <t>3. Trái phiếu đặc biệt do VAMC phát hành (đồng) (Y)</t>
  </si>
  <si>
    <t>Mệnh giá trái phiếu đặc biệt (đồng) (Y)</t>
  </si>
  <si>
    <t>Dự phòng trái phiếu đặc biệt (đồng) (Y)</t>
  </si>
  <si>
    <t>IX.b. Các khoản nợ chính phủ (Y)</t>
  </si>
  <si>
    <t>1. Vay ngân hàng Nhà nước (Y)</t>
  </si>
  <si>
    <t>Vay theo hồ sơ tín dụng (Y)</t>
  </si>
  <si>
    <t>Vay khác (Y)</t>
  </si>
  <si>
    <t>2. Tiền gửi của Kho bạc Nhà nước (Y)</t>
  </si>
  <si>
    <t>Tiền gửi không kì hạn (Y)</t>
  </si>
  <si>
    <t>Tiền gửi có kì hạn (Y)</t>
  </si>
  <si>
    <t>3. Tiền gửi của Ngân hàng Nhà nước Việt Nam (Y)</t>
  </si>
  <si>
    <t>X. Tiền gửi theo loại hình (đồng) (Y)</t>
  </si>
  <si>
    <t>1. Tiền gửi không kỳ hạn (đồng) (Y)</t>
  </si>
  <si>
    <t>2. Tiền gửi tiết kiệm và có kỳ hạn (đồng) (Y)</t>
  </si>
  <si>
    <t>3. Tiền gửi vốn chuyên dùng (đồng) (Y)</t>
  </si>
  <si>
    <t>4. Tiền gửi ký quỹ (đồng) (Y)</t>
  </si>
  <si>
    <t>5. Tiền đảm bảo thanh toán khác (đồng) (Y)</t>
  </si>
  <si>
    <t>XI. Tiền gửi theo đối tượng (đồng) (Y)</t>
  </si>
  <si>
    <t>1. Các tổ chức kinh tế (đồng) (Y)</t>
  </si>
  <si>
    <t>2. Cá nhân (đồng) (Y)</t>
  </si>
  <si>
    <t>XII. Phát hành giấy tờ có giá theo loại hình (đồng) (Y)</t>
  </si>
  <si>
    <t>1. Chứng chỉ tiền gửi (đồng) (Y)</t>
  </si>
  <si>
    <t>2. Kỳ phiếu, Trái phiếu (đồng) (Y)</t>
  </si>
  <si>
    <t>3. Giấy tờ có giá khác (đồng) (Y)</t>
  </si>
  <si>
    <t>XIII. Phát hành giấy tờ có giá theo kỳ hạn (đồng) (Y)</t>
  </si>
  <si>
    <t>1. Dưới 12 tháng (đồng) (Y)</t>
  </si>
  <si>
    <t>2. 12 tháng đến 5 năm (đồng) (Y)</t>
  </si>
  <si>
    <t>3. Trên 5 năm (đồng) (Y)</t>
  </si>
  <si>
    <t>4. Phát hành trái phiếu chuyển đổi (đồng) (Y)</t>
  </si>
  <si>
    <t>XIV. Thu nhập lãi và các khoản tương tự (đồng) (Y)</t>
  </si>
  <si>
    <t>1. Thu nhập lãi cho vay (đồng) (Y)</t>
  </si>
  <si>
    <t>2. Thu nhập lãi tiền gửi (đồng) (Y)</t>
  </si>
  <si>
    <t>3. Thu nhập lãi từ chứng khoán (đồng) (Y)</t>
  </si>
  <si>
    <t>4. Thu nhập lãi từ thuê tài chính (đồng) (Y)</t>
  </si>
  <si>
    <t>5. Thu từ nghiệp vụ bảo lãnh (đồng) (Y)</t>
  </si>
  <si>
    <t>6. Thu từ hoạt động mua nợ (đồng) (Y)</t>
  </si>
  <si>
    <t>7. Thu khác từ hoạt động tín dụng (đồng) (Y)</t>
  </si>
  <si>
    <t>XV. Chi phí lãi và các khoản chi phí tương tự (đồng) (Y)</t>
  </si>
  <si>
    <t>1. Trả lãi tiền gửi (đồng) (Y)</t>
  </si>
  <si>
    <t>2. Trả lãi tiền vay (đồng) (Y)</t>
  </si>
  <si>
    <t>3. Trả lãi phát hành giấy tờ có giá (đồng) (Y)</t>
  </si>
  <si>
    <t>4. Chi phí khác cho hoạt động tín dụng (đồng) (Y)</t>
  </si>
  <si>
    <t>XVI. Thu nhập từ hoạt động dịch vụ (đồng) (Y)</t>
  </si>
  <si>
    <t>1. Thu từ dịch vụ thanh toán (đồng) (Y)</t>
  </si>
  <si>
    <t>2. Thu từ dịch vụ ngân quỹ/ quản lý quỹ (đồng) (Y)</t>
  </si>
  <si>
    <t>3. Thu từ nghiệp vụ ủy thác và đại lý (đồng) (Y)</t>
  </si>
  <si>
    <t>4. Thu từ hoạt động bảo hiểm (đồng) (Y)</t>
  </si>
  <si>
    <t>5. Thu từ dịch vụ chứng khoán (đồng) (Y)</t>
  </si>
  <si>
    <t>6. Thu từ dịch vụ tư vấn (đồng) (Y)</t>
  </si>
  <si>
    <t>7. Thu phí khác (đồng) (Y)</t>
  </si>
  <si>
    <t>XVII. Chi phí cho hoạt động dịch vụ (đồng) (Y)</t>
  </si>
  <si>
    <t>1. Chi cho dịch vụ thanh toán (đồng) (Y)</t>
  </si>
  <si>
    <t>2. Chi cho dịch vụ ngân quỹ/ quản lý quỹ (đồng) (Y)</t>
  </si>
  <si>
    <t>3. Chi cho dịch vụ viễn thông (đồng) (Y)</t>
  </si>
  <si>
    <t>4. Chi cho nghiệp vụ ủy thác và đại lý (đồng) (Y)</t>
  </si>
  <si>
    <t>5. Chi cho hoạt động bảo hiểm (đồng) (Y)</t>
  </si>
  <si>
    <t>6. Chi cho dịch vụ môi giới kinh doanh (đồng) (Y)</t>
  </si>
  <si>
    <t>7. Chi cho dịch vụ tư vấn (đồng) (Y)</t>
  </si>
  <si>
    <t>8. Chi khác (đồng) (Y)</t>
  </si>
  <si>
    <t>XVIII. Thu nhập từ hoạt động kinh doanh vàng và ngoại hối (đồng) (Y)</t>
  </si>
  <si>
    <t>1. Thu từ kinh doanh vàng và ngoại tệ giao ngay (đồng) (Y)</t>
  </si>
  <si>
    <t>2. Thu từ các công cụ tài chính phái sinh tiền tệ (đồng) (Y)</t>
  </si>
  <si>
    <t>3. Lãi chênh lệch tỷ giá ngoại tệ kinh doanh (đồng) (Y)</t>
  </si>
  <si>
    <t>4. Lãi đánh giá lại các hợp đồng phái sinh (đồng) (Y)</t>
  </si>
  <si>
    <t>XIX. Chi phí hoạt động kinh doanh vàng và ngoại hối (đồng) (Y)</t>
  </si>
  <si>
    <t>1. Chi cho kinh doanh vàng và ngoại tệ giao ngay (đồng) (Y)</t>
  </si>
  <si>
    <t>2. Chi cho các công cụ tài chính phái sinh tiền tệ (đồng) (Y)</t>
  </si>
  <si>
    <t>3. Lỗ chênh lệch tỷ giá ngoại tệ kinh doanh (đồng) (Y)</t>
  </si>
  <si>
    <t>4. Lỗ đánh giá lại các hợp đồng phái sinh (đồng) (Y)</t>
  </si>
  <si>
    <t>XX. Lãi/lỗ thuần từ mua bán chứng khoán kinh doanh (đồng) (Y)</t>
  </si>
  <si>
    <t>1. Thu nhập từ mua bán chứng khoán kinh doanh (đồng) (Y)</t>
  </si>
  <si>
    <t>2. Chi phí về mua bán chứng khoán kinh doanh (đồng) (Y)</t>
  </si>
  <si>
    <t>3. Trích lập dự phòng giảm giá chứng khoán kinh doanh (đồng) (Y)</t>
  </si>
  <si>
    <t>4. Trích lập dự phòng rủi ro cho trái phiếu doanh nghiệp chưa niêm yết - ck kinh doanh (đồng) (Y)</t>
  </si>
  <si>
    <t>XXI. Lãi/lỗ thuần từ mua bán chứng khoán đầu tư (đồng) (Y)</t>
  </si>
  <si>
    <t>1. Thu nhập từ mua bán chứng khoán đầu tư (đồng) (Y)</t>
  </si>
  <si>
    <t>2. Chi phí về mua bán chứng khoán đầu tư (đồng) (Y)</t>
  </si>
  <si>
    <t>3. Trích lập dự phòng giảm giá chứng khoán đầu tư (đồng) (Y)</t>
  </si>
  <si>
    <t>4. Trích lập dự phòng rủi ro cho trái phiếu doanh nghiệp chưa niêm yết - ck đầu tư (đồng) (Y)</t>
  </si>
  <si>
    <t>XXII. Thu nhập từ hoạt động khác (đồng) (Y)</t>
  </si>
  <si>
    <t>1. Thu từ các công cụ tài chính phái sinh khác (đồng) (Y)</t>
  </si>
  <si>
    <t>2. Thu từ nghiệp vụ xử lý nợ (đồng) (Y)</t>
  </si>
  <si>
    <t>3. Thu nhập chuyển nhượng, thanh lý tài sản (đồng) (Y)</t>
  </si>
  <si>
    <t>4. Thu nhập khác (đồng) (Y)</t>
  </si>
  <si>
    <t>XXIII. Chi phí hoạt động khác (đồng) (Y)</t>
  </si>
  <si>
    <t>1. Chi từ các công cụ tài chính phái sinh khác (đồng) (Y)</t>
  </si>
  <si>
    <t>2. Chi về nghiệp vụ mua bán nợ (đồng) (Y)</t>
  </si>
  <si>
    <t>3. Chi từ chuyển nhượng, thanh lý tài sản (đồng) (Y)</t>
  </si>
  <si>
    <t>4. Chi công tác xã hội (đồng) (Y)</t>
  </si>
  <si>
    <t>5. Chi phí khác (đồng) (Y)</t>
  </si>
  <si>
    <t>XXIV. Thu nhập từ vốn góp, mua cổ phần (đồng) (Y)</t>
  </si>
  <si>
    <t>1. Cổ tức nhận được trong kỳ từ góp vốn, mua cổ phần (đồng) (Y)</t>
  </si>
  <si>
    <t>2. Thu nhập từ thanh lý các khoản đầu tư góp vốn, mua cổ phần (đồng) (Y)</t>
  </si>
  <si>
    <t>3. Phân chia lãi theo phương pháp vốn chủ sở hữu của các khoản đầu tư vào các công ty liên doanh, liên kết (đồng) (Y)</t>
  </si>
  <si>
    <t>4. Thu khác từ góp vốn mua cổ phần (đồng) (Y)</t>
  </si>
  <si>
    <t>XXV. Chi phí hoạt động (đồng) (Y)</t>
  </si>
  <si>
    <t>1. Chi nộp thuế và các khoản phí, lệ phí (đồng) (Y)</t>
  </si>
  <si>
    <t>2. Chi phí cho nhân viên (đồng) (Y)</t>
  </si>
  <si>
    <t>Chi lương và các khoản chi đóng góp theo lương (đồng) (Y)</t>
  </si>
  <si>
    <t>3. Chi về tài sản (đồng) (Y)</t>
  </si>
  <si>
    <t>Khấu hao tài sản cố định (đồng) (Y)</t>
  </si>
  <si>
    <t>4. Chi cho hoạt động quản lý công vụ (đồng) (Y)</t>
  </si>
  <si>
    <t>5. Chi nộp phí bảo hiểm, bảo toàn tiền gửi của khách hàng (đồng) (Y)</t>
  </si>
  <si>
    <t>6. Chi phí dự phòng (đồng) (Y)</t>
  </si>
  <si>
    <t>7. Chi phí khác (đồng) (Y)</t>
  </si>
  <si>
    <t>XXX. Tổng các chỉ tiêu ngoại bảng (Y)</t>
  </si>
  <si>
    <t>1. Bảo lãnh vay vốn (Y)</t>
  </si>
  <si>
    <t>2. Cam kết giao dịch hối đoái (Y)</t>
  </si>
  <si>
    <t>Cam kết mua ngoại tệ (Y)</t>
  </si>
  <si>
    <t>Cam kết bán ngoại tệ (Y)</t>
  </si>
  <si>
    <t>Cam kết giao dịch hoán đổi (Y)</t>
  </si>
  <si>
    <t>3. Cam kết nghiệp vụ thư tín dụng (Y)</t>
  </si>
  <si>
    <t>4. Bảo lãnh khác (Y)</t>
  </si>
  <si>
    <t>5. Các cam kết khác (Y)</t>
  </si>
  <si>
    <t>6. Lãi cho vay và phí chưa thu được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</si>
</sst>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&quot;A&quot;"/>
    <numFmt numFmtId="167" formatCode="0&quot;F&quot;"/>
    <numFmt numFmtId="168" formatCode="0.0%_);\(0.0%\);0.0%_);\ @_)"/>
    <numFmt numFmtId="169" formatCode="0\F"/>
    <numFmt numFmtId="170" formatCode="#,##0;[Red]\(#,##0\)"/>
    <numFmt numFmtId="171" formatCode="0\A"/>
  </numFmts>
  <fonts count="5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8"/>
      <color rgb="FF02271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8"/>
      <color theme="0"/>
      <name val="Roboto"/>
    </font>
    <font>
      <sz val="12"/>
      <color theme="1"/>
      <name val="Roboto"/>
    </font>
    <font>
      <sz val="11"/>
      <color theme="0"/>
      <name val="Aptos Narrow"/>
      <family val="2"/>
      <scheme val="minor"/>
    </font>
    <font>
      <b/>
      <sz val="16"/>
      <color theme="0"/>
      <name val="Roboto"/>
    </font>
    <font>
      <sz val="11"/>
      <color theme="1"/>
      <name val="Roboto"/>
    </font>
    <font>
      <b/>
      <sz val="11"/>
      <color theme="0"/>
      <name val="Roboto"/>
    </font>
    <font>
      <b/>
      <sz val="11"/>
      <name val="Roboto"/>
    </font>
    <font>
      <sz val="18"/>
      <name val="Roboto"/>
    </font>
    <font>
      <b/>
      <sz val="18"/>
      <name val="Roboto"/>
    </font>
    <font>
      <b/>
      <sz val="18"/>
      <color indexed="16"/>
      <name val="Roboto"/>
    </font>
    <font>
      <sz val="18"/>
      <color theme="1"/>
      <name val="Roboto"/>
    </font>
    <font>
      <b/>
      <sz val="18"/>
      <color theme="1"/>
      <name val="Roboto"/>
    </font>
    <font>
      <b/>
      <sz val="18"/>
      <color rgb="FFFF0000"/>
      <name val="Roboto"/>
    </font>
    <font>
      <b/>
      <sz val="16"/>
      <color theme="1"/>
      <name val="Roboto"/>
    </font>
    <font>
      <sz val="18"/>
      <color rgb="FFFF0000"/>
      <name val="Roboto"/>
    </font>
    <font>
      <sz val="16"/>
      <color theme="1"/>
      <name val="Roboto"/>
    </font>
    <font>
      <sz val="18"/>
      <color theme="7"/>
      <name val="Roboto"/>
    </font>
    <font>
      <u/>
      <sz val="12"/>
      <color theme="10"/>
      <name val="Roboto"/>
    </font>
    <font>
      <b/>
      <sz val="12"/>
      <color theme="0"/>
      <name val="Roboto"/>
    </font>
    <font>
      <b/>
      <sz val="12"/>
      <color theme="1"/>
      <name val="Roboto"/>
    </font>
    <font>
      <sz val="10"/>
      <name val="Arial"/>
      <family val="2"/>
    </font>
    <font>
      <sz val="12"/>
      <name val="Roboto"/>
    </font>
    <font>
      <sz val="11"/>
      <color indexed="8"/>
      <name val="Calibri"/>
      <family val="2"/>
    </font>
    <font>
      <sz val="12"/>
      <color rgb="FFFF0000"/>
      <name val="Roboto"/>
    </font>
    <font>
      <sz val="12"/>
      <color rgb="FF00B0F0"/>
      <name val="Roboto"/>
    </font>
    <font>
      <sz val="12"/>
      <color rgb="FF0000CC"/>
      <name val="Roboto"/>
    </font>
    <font>
      <sz val="8"/>
      <name val="Times New Roman"/>
      <family val="1"/>
    </font>
    <font>
      <b/>
      <sz val="12"/>
      <color rgb="FFFF0000"/>
      <name val="Roboto"/>
    </font>
    <font>
      <b/>
      <sz val="20"/>
      <color theme="0"/>
      <name val="Roboto"/>
    </font>
    <font>
      <sz val="20"/>
      <color theme="1"/>
      <name val="Roboto"/>
    </font>
    <font>
      <sz val="16"/>
      <name val="Roboto"/>
    </font>
    <font>
      <b/>
      <sz val="16"/>
      <name val="Roboto"/>
    </font>
    <font>
      <b/>
      <sz val="16"/>
      <color indexed="16"/>
      <name val="Roboto"/>
    </font>
    <font>
      <b/>
      <sz val="16"/>
      <color rgb="FFFF0000"/>
      <name val="Roboto"/>
    </font>
    <font>
      <sz val="16"/>
      <color rgb="FFFF0000"/>
      <name val="Roboto"/>
    </font>
    <font>
      <sz val="16"/>
      <color rgb="FF00B0F0"/>
      <name val="Roboto"/>
    </font>
    <font>
      <b/>
      <sz val="18"/>
      <color rgb="FF022714"/>
      <name val="Roboto"/>
    </font>
    <font>
      <sz val="14"/>
      <color rgb="FF0070C0"/>
      <name val="Roboto"/>
    </font>
    <font>
      <b/>
      <sz val="12"/>
      <name val="Roboto"/>
    </font>
    <font>
      <b/>
      <sz val="11"/>
      <color theme="4" tint="-0.499984740745262"/>
      <name val="Roboto"/>
    </font>
    <font>
      <b/>
      <sz val="20"/>
      <color theme="1"/>
      <name val="Roboto"/>
    </font>
    <font>
      <b/>
      <sz val="12"/>
      <color theme="8" tint="0.79998168889431442"/>
      <name val="Roboto"/>
    </font>
    <font>
      <b/>
      <sz val="11"/>
      <color theme="1"/>
      <name val="Roboto"/>
    </font>
    <font>
      <sz val="11"/>
      <name val="Roboto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 applyProtection="0"/>
    <xf numFmtId="43" fontId="36" fillId="0" borderId="0" applyProtection="0">
      <alignment vertical="center"/>
    </xf>
    <xf numFmtId="9" fontId="36" fillId="0" borderId="0" applyProtection="0">
      <alignment vertical="center"/>
    </xf>
    <xf numFmtId="170" fontId="40" fillId="0" borderId="0" applyProtection="0"/>
    <xf numFmtId="0" fontId="36" fillId="0" borderId="0" applyProtection="0"/>
  </cellStyleXfs>
  <cellXfs count="248">
    <xf numFmtId="0" fontId="0" fillId="0" borderId="0" xfId="0"/>
    <xf numFmtId="0" fontId="5" fillId="2" borderId="0" xfId="0" applyFont="1" applyFill="1" applyAlignment="1">
      <alignment horizontal="center" vertical="center"/>
    </xf>
    <xf numFmtId="0" fontId="0" fillId="2" borderId="0" xfId="0" applyFill="1"/>
    <xf numFmtId="0" fontId="6" fillId="2" borderId="0" xfId="0" applyFont="1" applyFill="1"/>
    <xf numFmtId="164" fontId="0" fillId="2" borderId="0" xfId="1" applyNumberFormat="1" applyFont="1" applyFill="1"/>
    <xf numFmtId="164" fontId="10" fillId="2" borderId="0" xfId="1" applyNumberFormat="1" applyFont="1" applyFill="1" applyBorder="1" applyAlignment="1">
      <alignment horizontal="center" vertical="center"/>
    </xf>
    <xf numFmtId="164" fontId="9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/>
    <xf numFmtId="164" fontId="0" fillId="2" borderId="0" xfId="1" applyNumberFormat="1" applyFont="1" applyFill="1" applyBorder="1"/>
    <xf numFmtId="0" fontId="12" fillId="2" borderId="0" xfId="0" applyFont="1" applyFill="1" applyAlignment="1">
      <alignment horizontal="center"/>
    </xf>
    <xf numFmtId="0" fontId="3" fillId="2" borderId="0" xfId="0" applyFont="1" applyFill="1"/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4" fontId="6" fillId="2" borderId="0" xfId="1" applyNumberFormat="1" applyFont="1" applyFill="1" applyBorder="1"/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2" xfId="0" applyFont="1" applyBorder="1"/>
    <xf numFmtId="0" fontId="15" fillId="0" borderId="3" xfId="0" applyFont="1" applyBorder="1"/>
    <xf numFmtId="165" fontId="15" fillId="0" borderId="4" xfId="3" applyNumberFormat="1" applyFont="1" applyBorder="1" applyAlignment="1">
      <alignment horizontal="center"/>
    </xf>
    <xf numFmtId="165" fontId="15" fillId="0" borderId="0" xfId="3" applyNumberFormat="1" applyFont="1" applyAlignment="1">
      <alignment horizontal="center"/>
    </xf>
    <xf numFmtId="43" fontId="15" fillId="0" borderId="0" xfId="1" applyFont="1" applyAlignment="1">
      <alignment horizontal="center"/>
    </xf>
    <xf numFmtId="10" fontId="15" fillId="0" borderId="0" xfId="3" applyNumberFormat="1" applyFont="1" applyAlignment="1">
      <alignment horizontal="center"/>
    </xf>
    <xf numFmtId="9" fontId="15" fillId="0" borderId="0" xfId="3" applyFont="1" applyAlignment="1">
      <alignment horizontal="center"/>
    </xf>
    <xf numFmtId="0" fontId="18" fillId="0" borderId="0" xfId="0" applyFont="1"/>
    <xf numFmtId="0" fontId="19" fillId="0" borderId="0" xfId="0" applyFont="1"/>
    <xf numFmtId="0" fontId="16" fillId="0" borderId="0" xfId="0" applyFont="1"/>
    <xf numFmtId="0" fontId="18" fillId="0" borderId="5" xfId="0" applyFont="1" applyBorder="1"/>
    <xf numFmtId="0" fontId="20" fillId="0" borderId="0" xfId="0" applyFont="1"/>
    <xf numFmtId="0" fontId="7" fillId="0" borderId="0" xfId="0" applyFont="1"/>
    <xf numFmtId="0" fontId="21" fillId="0" borderId="3" xfId="0" applyFont="1" applyBorder="1"/>
    <xf numFmtId="0" fontId="22" fillId="0" borderId="4" xfId="0" applyFont="1" applyBorder="1" applyAlignment="1">
      <alignment horizontal="centerContinuous"/>
    </xf>
    <xf numFmtId="0" fontId="24" fillId="0" borderId="0" xfId="0" applyFont="1"/>
    <xf numFmtId="0" fontId="21" fillId="0" borderId="9" xfId="0" applyFont="1" applyBorder="1"/>
    <xf numFmtId="166" fontId="22" fillId="0" borderId="10" xfId="0" applyNumberFormat="1" applyFont="1" applyBorder="1" applyAlignment="1">
      <alignment horizontal="right"/>
    </xf>
    <xf numFmtId="166" fontId="22" fillId="0" borderId="0" xfId="0" applyNumberFormat="1" applyFont="1" applyAlignment="1">
      <alignment horizontal="right"/>
    </xf>
    <xf numFmtId="166" fontId="22" fillId="0" borderId="4" xfId="0" applyNumberFormat="1" applyFont="1" applyBorder="1" applyAlignment="1">
      <alignment horizontal="right"/>
    </xf>
    <xf numFmtId="166" fontId="25" fillId="0" borderId="3" xfId="0" applyNumberFormat="1" applyFont="1" applyBorder="1" applyAlignment="1">
      <alignment horizontal="right"/>
    </xf>
    <xf numFmtId="167" fontId="23" fillId="0" borderId="0" xfId="0" applyNumberFormat="1" applyFont="1" applyAlignment="1">
      <alignment horizontal="right"/>
    </xf>
    <xf numFmtId="167" fontId="23" fillId="0" borderId="3" xfId="0" applyNumberFormat="1" applyFont="1" applyBorder="1" applyAlignment="1">
      <alignment horizontal="right"/>
    </xf>
    <xf numFmtId="168" fontId="21" fillId="0" borderId="4" xfId="0" applyNumberFormat="1" applyFont="1" applyBorder="1" applyAlignment="1">
      <alignment horizontal="right"/>
    </xf>
    <xf numFmtId="0" fontId="22" fillId="0" borderId="2" xfId="0" applyFont="1" applyBorder="1" applyAlignment="1">
      <alignment horizontal="left"/>
    </xf>
    <xf numFmtId="41" fontId="25" fillId="0" borderId="11" xfId="1" applyNumberFormat="1" applyFont="1" applyBorder="1"/>
    <xf numFmtId="41" fontId="25" fillId="0" borderId="4" xfId="1" applyNumberFormat="1" applyFont="1" applyBorder="1"/>
    <xf numFmtId="41" fontId="25" fillId="0" borderId="3" xfId="1" applyNumberFormat="1" applyFont="1" applyBorder="1"/>
    <xf numFmtId="164" fontId="26" fillId="0" borderId="4" xfId="1" applyNumberFormat="1" applyFont="1" applyBorder="1"/>
    <xf numFmtId="164" fontId="26" fillId="0" borderId="3" xfId="1" applyNumberFormat="1" applyFont="1" applyBorder="1"/>
    <xf numFmtId="165" fontId="27" fillId="0" borderId="4" xfId="3" applyNumberFormat="1" applyFont="1" applyBorder="1"/>
    <xf numFmtId="0" fontId="24" fillId="0" borderId="2" xfId="0" applyFont="1" applyBorder="1"/>
    <xf numFmtId="41" fontId="24" fillId="0" borderId="0" xfId="1" applyNumberFormat="1" applyFont="1"/>
    <xf numFmtId="41" fontId="24" fillId="0" borderId="2" xfId="1" applyNumberFormat="1" applyFont="1" applyBorder="1"/>
    <xf numFmtId="164" fontId="28" fillId="0" borderId="0" xfId="1" applyNumberFormat="1" applyFont="1" applyBorder="1"/>
    <xf numFmtId="164" fontId="28" fillId="0" borderId="2" xfId="1" applyNumberFormat="1" applyFont="1" applyBorder="1"/>
    <xf numFmtId="165" fontId="29" fillId="0" borderId="0" xfId="3" applyNumberFormat="1" applyFont="1" applyBorder="1"/>
    <xf numFmtId="0" fontId="25" fillId="0" borderId="2" xfId="0" applyFont="1" applyBorder="1"/>
    <xf numFmtId="41" fontId="25" fillId="0" borderId="0" xfId="1" applyNumberFormat="1" applyFont="1"/>
    <xf numFmtId="41" fontId="25" fillId="0" borderId="2" xfId="1" applyNumberFormat="1" applyFont="1" applyBorder="1"/>
    <xf numFmtId="164" fontId="26" fillId="0" borderId="0" xfId="1" applyNumberFormat="1" applyFont="1" applyBorder="1"/>
    <xf numFmtId="164" fontId="26" fillId="0" borderId="2" xfId="1" applyNumberFormat="1" applyFont="1" applyBorder="1"/>
    <xf numFmtId="165" fontId="27" fillId="0" borderId="0" xfId="3" applyNumberFormat="1" applyFont="1" applyBorder="1"/>
    <xf numFmtId="0" fontId="28" fillId="0" borderId="0" xfId="0" applyFont="1"/>
    <xf numFmtId="165" fontId="24" fillId="0" borderId="0" xfId="0" applyNumberFormat="1" applyFont="1"/>
    <xf numFmtId="164" fontId="24" fillId="0" borderId="0" xfId="1" applyNumberFormat="1" applyFont="1"/>
    <xf numFmtId="43" fontId="24" fillId="0" borderId="0" xfId="0" applyNumberFormat="1" applyFont="1"/>
    <xf numFmtId="166" fontId="25" fillId="0" borderId="0" xfId="0" applyNumberFormat="1" applyFont="1"/>
    <xf numFmtId="166" fontId="25" fillId="0" borderId="2" xfId="0" applyNumberFormat="1" applyFont="1" applyBorder="1"/>
    <xf numFmtId="167" fontId="25" fillId="0" borderId="0" xfId="0" applyNumberFormat="1" applyFont="1"/>
    <xf numFmtId="165" fontId="24" fillId="0" borderId="4" xfId="3" applyNumberFormat="1" applyFont="1" applyBorder="1"/>
    <xf numFmtId="165" fontId="24" fillId="0" borderId="3" xfId="3" applyNumberFormat="1" applyFont="1" applyBorder="1"/>
    <xf numFmtId="165" fontId="30" fillId="0" borderId="4" xfId="3" applyNumberFormat="1" applyFont="1" applyBorder="1"/>
    <xf numFmtId="165" fontId="24" fillId="0" borderId="0" xfId="3" applyNumberFormat="1" applyFont="1" applyBorder="1"/>
    <xf numFmtId="165" fontId="24" fillId="0" borderId="2" xfId="3" applyNumberFormat="1" applyFont="1" applyBorder="1"/>
    <xf numFmtId="165" fontId="30" fillId="0" borderId="0" xfId="3" applyNumberFormat="1" applyFont="1" applyBorder="1"/>
    <xf numFmtId="165" fontId="24" fillId="0" borderId="0" xfId="3" applyNumberFormat="1" applyFont="1"/>
    <xf numFmtId="0" fontId="31" fillId="3" borderId="0" xfId="4" quotePrefix="1" applyFont="1" applyFill="1" applyAlignment="1">
      <alignment vertical="center"/>
    </xf>
    <xf numFmtId="0" fontId="32" fillId="3" borderId="0" xfId="0" applyFont="1" applyFill="1" applyAlignment="1">
      <alignment vertical="center"/>
    </xf>
    <xf numFmtId="0" fontId="33" fillId="0" borderId="0" xfId="0" applyFont="1"/>
    <xf numFmtId="0" fontId="32" fillId="6" borderId="11" xfId="0" applyFont="1" applyFill="1" applyBorder="1"/>
    <xf numFmtId="166" fontId="32" fillId="6" borderId="4" xfId="0" applyNumberFormat="1" applyFont="1" applyFill="1" applyBorder="1"/>
    <xf numFmtId="169" fontId="32" fillId="6" borderId="3" xfId="0" applyNumberFormat="1" applyFont="1" applyFill="1" applyBorder="1"/>
    <xf numFmtId="0" fontId="35" fillId="7" borderId="10" xfId="5" applyFont="1" applyFill="1" applyBorder="1" applyAlignment="1">
      <alignment vertical="center"/>
    </xf>
    <xf numFmtId="164" fontId="35" fillId="7" borderId="0" xfId="6" applyNumberFormat="1" applyFont="1" applyFill="1">
      <alignment vertical="center"/>
    </xf>
    <xf numFmtId="164" fontId="37" fillId="7" borderId="2" xfId="6" applyNumberFormat="1" applyFont="1" applyFill="1" applyBorder="1">
      <alignment vertical="center"/>
    </xf>
    <xf numFmtId="0" fontId="15" fillId="0" borderId="10" xfId="0" applyFont="1" applyBorder="1"/>
    <xf numFmtId="164" fontId="37" fillId="0" borderId="2" xfId="6" applyNumberFormat="1" applyFont="1" applyBorder="1">
      <alignment vertical="center"/>
    </xf>
    <xf numFmtId="164" fontId="35" fillId="0" borderId="0" xfId="1" applyNumberFormat="1" applyFont="1" applyBorder="1" applyAlignment="1">
      <alignment horizontal="right"/>
    </xf>
    <xf numFmtId="164" fontId="37" fillId="0" borderId="2" xfId="1" applyNumberFormat="1" applyFont="1" applyBorder="1" applyAlignment="1">
      <alignment horizontal="right"/>
    </xf>
    <xf numFmtId="164" fontId="35" fillId="0" borderId="2" xfId="1" applyNumberFormat="1" applyFont="1" applyBorder="1" applyAlignment="1">
      <alignment horizontal="right"/>
    </xf>
    <xf numFmtId="0" fontId="15" fillId="0" borderId="12" xfId="0" applyFont="1" applyBorder="1"/>
    <xf numFmtId="43" fontId="35" fillId="0" borderId="5" xfId="1" applyFont="1" applyBorder="1" applyAlignment="1">
      <alignment horizontal="right"/>
    </xf>
    <xf numFmtId="43" fontId="38" fillId="0" borderId="9" xfId="1" applyFont="1" applyBorder="1" applyAlignment="1">
      <alignment horizontal="right"/>
    </xf>
    <xf numFmtId="0" fontId="32" fillId="6" borderId="0" xfId="0" applyFont="1" applyFill="1"/>
    <xf numFmtId="164" fontId="32" fillId="6" borderId="0" xfId="1" applyNumberFormat="1" applyFont="1" applyFill="1" applyBorder="1"/>
    <xf numFmtId="164" fontId="39" fillId="0" borderId="0" xfId="1" applyNumberFormat="1" applyFont="1" applyBorder="1" applyAlignment="1">
      <alignment horizontal="right"/>
    </xf>
    <xf numFmtId="0" fontId="32" fillId="6" borderId="4" xfId="0" applyFont="1" applyFill="1" applyBorder="1"/>
    <xf numFmtId="0" fontId="32" fillId="6" borderId="3" xfId="0" applyFont="1" applyFill="1" applyBorder="1"/>
    <xf numFmtId="165" fontId="35" fillId="7" borderId="0" xfId="7" applyNumberFormat="1" applyFont="1" applyFill="1" applyAlignment="1">
      <alignment horizontal="right" vertical="center"/>
    </xf>
    <xf numFmtId="170" fontId="35" fillId="0" borderId="10" xfId="8" applyFont="1" applyBorder="1" applyAlignment="1">
      <alignment vertical="center"/>
    </xf>
    <xf numFmtId="0" fontId="35" fillId="0" borderId="0" xfId="9" applyFont="1"/>
    <xf numFmtId="165" fontId="38" fillId="0" borderId="2" xfId="7" applyNumberFormat="1" applyFont="1" applyBorder="1" applyAlignment="1">
      <alignment horizontal="right" vertical="center"/>
    </xf>
    <xf numFmtId="170" fontId="35" fillId="0" borderId="12" xfId="8" applyFont="1" applyBorder="1" applyAlignment="1">
      <alignment vertical="center"/>
    </xf>
    <xf numFmtId="0" fontId="35" fillId="0" borderId="5" xfId="9" applyFont="1" applyBorder="1"/>
    <xf numFmtId="165" fontId="38" fillId="0" borderId="9" xfId="7" applyNumberFormat="1" applyFont="1" applyBorder="1" applyAlignment="1">
      <alignment horizontal="right" vertical="center"/>
    </xf>
    <xf numFmtId="170" fontId="35" fillId="7" borderId="0" xfId="8" applyFont="1" applyFill="1" applyAlignment="1">
      <alignment vertical="center"/>
    </xf>
    <xf numFmtId="171" fontId="32" fillId="6" borderId="4" xfId="0" applyNumberFormat="1" applyFont="1" applyFill="1" applyBorder="1"/>
    <xf numFmtId="169" fontId="32" fillId="6" borderId="4" xfId="0" applyNumberFormat="1" applyFont="1" applyFill="1" applyBorder="1"/>
    <xf numFmtId="164" fontId="37" fillId="7" borderId="0" xfId="6" applyNumberFormat="1" applyFont="1" applyFill="1">
      <alignment vertical="center"/>
    </xf>
    <xf numFmtId="0" fontId="35" fillId="0" borderId="10" xfId="5" applyFont="1" applyBorder="1" applyAlignment="1">
      <alignment vertical="center"/>
    </xf>
    <xf numFmtId="41" fontId="35" fillId="0" borderId="0" xfId="6" applyNumberFormat="1" applyFont="1">
      <alignment vertical="center"/>
    </xf>
    <xf numFmtId="41" fontId="37" fillId="0" borderId="0" xfId="6" applyNumberFormat="1" applyFont="1">
      <alignment vertical="center"/>
    </xf>
    <xf numFmtId="41" fontId="37" fillId="0" borderId="2" xfId="6" applyNumberFormat="1" applyFont="1" applyBorder="1">
      <alignment vertical="center"/>
    </xf>
    <xf numFmtId="164" fontId="15" fillId="0" borderId="0" xfId="0" applyNumberFormat="1" applyFont="1"/>
    <xf numFmtId="164" fontId="37" fillId="0" borderId="0" xfId="6" applyNumberFormat="1" applyFont="1">
      <alignment vertical="center"/>
    </xf>
    <xf numFmtId="164" fontId="35" fillId="7" borderId="0" xfId="1" applyNumberFormat="1" applyFont="1" applyFill="1" applyAlignment="1">
      <alignment vertical="center"/>
    </xf>
    <xf numFmtId="164" fontId="37" fillId="7" borderId="0" xfId="1" applyNumberFormat="1" applyFont="1" applyFill="1" applyBorder="1" applyAlignment="1">
      <alignment vertical="center"/>
    </xf>
    <xf numFmtId="164" fontId="37" fillId="7" borderId="2" xfId="1" applyNumberFormat="1" applyFont="1" applyFill="1" applyBorder="1" applyAlignment="1">
      <alignment vertical="center"/>
    </xf>
    <xf numFmtId="164" fontId="35" fillId="7" borderId="0" xfId="1" applyNumberFormat="1" applyFont="1" applyFill="1" applyBorder="1" applyAlignment="1">
      <alignment vertical="center"/>
    </xf>
    <xf numFmtId="0" fontId="35" fillId="7" borderId="0" xfId="5" applyFont="1" applyFill="1" applyAlignment="1">
      <alignment vertical="center"/>
    </xf>
    <xf numFmtId="10" fontId="37" fillId="7" borderId="0" xfId="7" applyNumberFormat="1" applyFont="1" applyFill="1">
      <alignment vertical="center"/>
    </xf>
    <xf numFmtId="10" fontId="37" fillId="7" borderId="2" xfId="7" applyNumberFormat="1" applyFont="1" applyFill="1" applyBorder="1">
      <alignment vertical="center"/>
    </xf>
    <xf numFmtId="164" fontId="37" fillId="7" borderId="0" xfId="1" applyNumberFormat="1" applyFont="1" applyFill="1" applyAlignment="1">
      <alignment vertical="center"/>
    </xf>
    <xf numFmtId="43" fontId="37" fillId="7" borderId="0" xfId="1" applyFont="1" applyFill="1" applyAlignment="1">
      <alignment vertical="center"/>
    </xf>
    <xf numFmtId="43" fontId="37" fillId="7" borderId="2" xfId="1" applyFont="1" applyFill="1" applyBorder="1" applyAlignment="1">
      <alignment vertical="center"/>
    </xf>
    <xf numFmtId="164" fontId="37" fillId="7" borderId="0" xfId="5" applyNumberFormat="1" applyFont="1" applyFill="1" applyAlignment="1">
      <alignment vertical="center"/>
    </xf>
    <xf numFmtId="164" fontId="37" fillId="7" borderId="2" xfId="5" applyNumberFormat="1" applyFont="1" applyFill="1" applyBorder="1" applyAlignment="1">
      <alignment vertical="center"/>
    </xf>
    <xf numFmtId="0" fontId="35" fillId="7" borderId="12" xfId="5" applyFont="1" applyFill="1" applyBorder="1" applyAlignment="1">
      <alignment vertical="center"/>
    </xf>
    <xf numFmtId="164" fontId="35" fillId="7" borderId="5" xfId="6" applyNumberFormat="1" applyFont="1" applyFill="1" applyBorder="1">
      <alignment vertical="center"/>
    </xf>
    <xf numFmtId="164" fontId="37" fillId="7" borderId="5" xfId="1" applyNumberFormat="1" applyFont="1" applyFill="1" applyBorder="1" applyAlignment="1">
      <alignment vertical="center"/>
    </xf>
    <xf numFmtId="164" fontId="37" fillId="7" borderId="5" xfId="5" applyNumberFormat="1" applyFont="1" applyFill="1" applyBorder="1" applyAlignment="1">
      <alignment vertical="center"/>
    </xf>
    <xf numFmtId="164" fontId="37" fillId="7" borderId="9" xfId="5" applyNumberFormat="1" applyFont="1" applyFill="1" applyBorder="1" applyAlignment="1">
      <alignment vertical="center"/>
    </xf>
    <xf numFmtId="0" fontId="32" fillId="6" borderId="0" xfId="0" applyFont="1" applyFill="1" applyAlignment="1">
      <alignment horizontal="center"/>
    </xf>
    <xf numFmtId="164" fontId="37" fillId="0" borderId="0" xfId="0" applyNumberFormat="1" applyFont="1"/>
    <xf numFmtId="9" fontId="38" fillId="0" borderId="0" xfId="0" applyNumberFormat="1" applyFont="1"/>
    <xf numFmtId="164" fontId="37" fillId="0" borderId="2" xfId="1" applyNumberFormat="1" applyFont="1" applyBorder="1"/>
    <xf numFmtId="0" fontId="33" fillId="8" borderId="12" xfId="0" applyFont="1" applyFill="1" applyBorder="1"/>
    <xf numFmtId="0" fontId="15" fillId="8" borderId="5" xfId="0" applyFont="1" applyFill="1" applyBorder="1"/>
    <xf numFmtId="164" fontId="41" fillId="8" borderId="9" xfId="0" applyNumberFormat="1" applyFont="1" applyFill="1" applyBorder="1"/>
    <xf numFmtId="0" fontId="42" fillId="3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43" fillId="0" borderId="0" xfId="0" applyFont="1"/>
    <xf numFmtId="0" fontId="44" fillId="0" borderId="3" xfId="0" applyFont="1" applyBorder="1"/>
    <xf numFmtId="0" fontId="45" fillId="0" borderId="4" xfId="0" applyFont="1" applyBorder="1" applyAlignment="1">
      <alignment horizontal="centerContinuous"/>
    </xf>
    <xf numFmtId="0" fontId="29" fillId="0" borderId="0" xfId="0" applyFont="1"/>
    <xf numFmtId="0" fontId="44" fillId="0" borderId="9" xfId="0" applyFont="1" applyBorder="1"/>
    <xf numFmtId="166" fontId="45" fillId="0" borderId="10" xfId="0" applyNumberFormat="1" applyFont="1" applyBorder="1" applyAlignment="1">
      <alignment horizontal="right"/>
    </xf>
    <xf numFmtId="166" fontId="45" fillId="0" borderId="0" xfId="0" applyNumberFormat="1" applyFont="1" applyAlignment="1">
      <alignment horizontal="right"/>
    </xf>
    <xf numFmtId="166" fontId="45" fillId="0" borderId="4" xfId="0" applyNumberFormat="1" applyFont="1" applyBorder="1" applyAlignment="1">
      <alignment horizontal="right"/>
    </xf>
    <xf numFmtId="166" fontId="45" fillId="0" borderId="2" xfId="0" applyNumberFormat="1" applyFont="1" applyBorder="1" applyAlignment="1">
      <alignment horizontal="right"/>
    </xf>
    <xf numFmtId="167" fontId="46" fillId="0" borderId="12" xfId="0" applyNumberFormat="1" applyFont="1" applyBorder="1" applyAlignment="1">
      <alignment horizontal="right"/>
    </xf>
    <xf numFmtId="167" fontId="46" fillId="0" borderId="5" xfId="0" applyNumberFormat="1" applyFont="1" applyBorder="1" applyAlignment="1">
      <alignment horizontal="right"/>
    </xf>
    <xf numFmtId="167" fontId="46" fillId="0" borderId="9" xfId="0" applyNumberFormat="1" applyFont="1" applyBorder="1" applyAlignment="1">
      <alignment horizontal="right"/>
    </xf>
    <xf numFmtId="168" fontId="44" fillId="0" borderId="4" xfId="0" applyNumberFormat="1" applyFont="1" applyBorder="1" applyAlignment="1">
      <alignment horizontal="right"/>
    </xf>
    <xf numFmtId="0" fontId="45" fillId="0" borderId="2" xfId="0" applyFont="1" applyBorder="1" applyAlignment="1">
      <alignment horizontal="left"/>
    </xf>
    <xf numFmtId="41" fontId="27" fillId="0" borderId="11" xfId="1" applyNumberFormat="1" applyFont="1" applyBorder="1"/>
    <xf numFmtId="41" fontId="27" fillId="0" borderId="4" xfId="1" applyNumberFormat="1" applyFont="1" applyBorder="1"/>
    <xf numFmtId="41" fontId="27" fillId="0" borderId="3" xfId="1" applyNumberFormat="1" applyFont="1" applyBorder="1"/>
    <xf numFmtId="41" fontId="47" fillId="0" borderId="11" xfId="1" applyNumberFormat="1" applyFont="1" applyBorder="1"/>
    <xf numFmtId="41" fontId="47" fillId="0" borderId="4" xfId="1" applyNumberFormat="1" applyFont="1" applyBorder="1"/>
    <xf numFmtId="41" fontId="47" fillId="0" borderId="3" xfId="1" applyNumberFormat="1" applyFont="1" applyBorder="1"/>
    <xf numFmtId="0" fontId="29" fillId="0" borderId="2" xfId="0" applyFont="1" applyBorder="1"/>
    <xf numFmtId="41" fontId="29" fillId="0" borderId="0" xfId="1" applyNumberFormat="1" applyFont="1"/>
    <xf numFmtId="41" fontId="48" fillId="0" borderId="10" xfId="1" applyNumberFormat="1" applyFont="1" applyBorder="1"/>
    <xf numFmtId="41" fontId="48" fillId="0" borderId="0" xfId="1" applyNumberFormat="1" applyFont="1" applyBorder="1"/>
    <xf numFmtId="41" fontId="48" fillId="0" borderId="2" xfId="1" applyNumberFormat="1" applyFont="1" applyBorder="1"/>
    <xf numFmtId="165" fontId="29" fillId="0" borderId="0" xfId="3" applyNumberFormat="1" applyFont="1"/>
    <xf numFmtId="165" fontId="29" fillId="0" borderId="12" xfId="3" applyNumberFormat="1" applyFont="1" applyBorder="1"/>
    <xf numFmtId="43" fontId="29" fillId="0" borderId="0" xfId="0" applyNumberFormat="1" applyFont="1"/>
    <xf numFmtId="0" fontId="27" fillId="0" borderId="3" xfId="0" applyFont="1" applyBorder="1"/>
    <xf numFmtId="165" fontId="27" fillId="0" borderId="0" xfId="3" applyNumberFormat="1" applyFont="1"/>
    <xf numFmtId="43" fontId="29" fillId="0" borderId="0" xfId="1" applyFont="1"/>
    <xf numFmtId="0" fontId="27" fillId="0" borderId="2" xfId="0" applyFont="1" applyBorder="1"/>
    <xf numFmtId="166" fontId="27" fillId="0" borderId="0" xfId="0" applyNumberFormat="1" applyFont="1"/>
    <xf numFmtId="166" fontId="27" fillId="0" borderId="2" xfId="0" applyNumberFormat="1" applyFont="1" applyBorder="1"/>
    <xf numFmtId="167" fontId="27" fillId="0" borderId="0" xfId="0" applyNumberFormat="1" applyFont="1"/>
    <xf numFmtId="0" fontId="29" fillId="0" borderId="3" xfId="0" applyFont="1" applyBorder="1"/>
    <xf numFmtId="9" fontId="29" fillId="0" borderId="4" xfId="3" applyFont="1" applyBorder="1"/>
    <xf numFmtId="9" fontId="29" fillId="0" borderId="3" xfId="3" applyFont="1" applyBorder="1"/>
    <xf numFmtId="9" fontId="49" fillId="0" borderId="4" xfId="0" applyNumberFormat="1" applyFont="1" applyBorder="1"/>
    <xf numFmtId="9" fontId="29" fillId="0" borderId="0" xfId="3" applyFont="1"/>
    <xf numFmtId="9" fontId="29" fillId="0" borderId="2" xfId="3" applyFont="1" applyBorder="1"/>
    <xf numFmtId="9" fontId="49" fillId="0" borderId="0" xfId="0" applyNumberFormat="1" applyFont="1"/>
    <xf numFmtId="165" fontId="24" fillId="0" borderId="11" xfId="3" applyNumberFormat="1" applyFont="1" applyBorder="1"/>
    <xf numFmtId="165" fontId="24" fillId="0" borderId="10" xfId="3" applyNumberFormat="1" applyFont="1" applyBorder="1"/>
    <xf numFmtId="41" fontId="11" fillId="2" borderId="13" xfId="2" applyFont="1" applyFill="1" applyBorder="1"/>
    <xf numFmtId="0" fontId="15" fillId="2" borderId="0" xfId="0" applyFont="1" applyFill="1"/>
    <xf numFmtId="0" fontId="50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33" fillId="2" borderId="0" xfId="0" applyFont="1" applyFill="1"/>
    <xf numFmtId="0" fontId="52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2" borderId="0" xfId="0" applyFont="1" applyFill="1"/>
    <xf numFmtId="0" fontId="33" fillId="2" borderId="0" xfId="0" applyFont="1" applyFill="1" applyAlignment="1">
      <alignment horizontal="center" vertical="center"/>
    </xf>
    <xf numFmtId="0" fontId="56" fillId="0" borderId="13" xfId="0" applyFont="1" applyBorder="1"/>
    <xf numFmtId="41" fontId="33" fillId="2" borderId="0" xfId="0" applyNumberFormat="1" applyFont="1" applyFill="1"/>
    <xf numFmtId="165" fontId="15" fillId="2" borderId="0" xfId="3" applyNumberFormat="1" applyFont="1" applyFill="1" applyBorder="1"/>
    <xf numFmtId="165" fontId="15" fillId="2" borderId="0" xfId="3" applyNumberFormat="1" applyFont="1" applyFill="1" applyBorder="1" applyAlignment="1"/>
    <xf numFmtId="41" fontId="15" fillId="2" borderId="0" xfId="0" applyNumberFormat="1" applyFont="1" applyFill="1"/>
    <xf numFmtId="41" fontId="56" fillId="2" borderId="13" xfId="2" applyFont="1" applyFill="1" applyBorder="1"/>
    <xf numFmtId="0" fontId="18" fillId="0" borderId="13" xfId="0" applyFont="1" applyBorder="1"/>
    <xf numFmtId="41" fontId="18" fillId="2" borderId="13" xfId="2" applyFont="1" applyFill="1" applyBorder="1"/>
    <xf numFmtId="0" fontId="33" fillId="2" borderId="0" xfId="0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9" fontId="33" fillId="2" borderId="0" xfId="0" applyNumberFormat="1" applyFont="1" applyFill="1" applyAlignment="1">
      <alignment vertical="center"/>
    </xf>
    <xf numFmtId="165" fontId="33" fillId="2" borderId="0" xfId="3" applyNumberFormat="1" applyFont="1" applyFill="1" applyBorder="1" applyAlignment="1">
      <alignment vertical="center"/>
    </xf>
    <xf numFmtId="9" fontId="15" fillId="2" borderId="0" xfId="3" applyFont="1" applyFill="1" applyBorder="1"/>
    <xf numFmtId="0" fontId="56" fillId="2" borderId="0" xfId="0" applyFont="1" applyFill="1"/>
    <xf numFmtId="164" fontId="57" fillId="2" borderId="0" xfId="1" applyNumberFormat="1" applyFont="1" applyFill="1" applyBorder="1" applyAlignment="1">
      <alignment horizontal="center" vertical="center"/>
    </xf>
    <xf numFmtId="164" fontId="20" fillId="2" borderId="0" xfId="1" applyNumberFormat="1" applyFont="1" applyFill="1" applyBorder="1" applyAlignment="1">
      <alignment horizontal="center" vertical="center"/>
    </xf>
    <xf numFmtId="0" fontId="18" fillId="2" borderId="0" xfId="0" applyFont="1" applyFill="1"/>
    <xf numFmtId="164" fontId="15" fillId="2" borderId="0" xfId="1" applyNumberFormat="1" applyFont="1" applyFill="1" applyBorder="1"/>
    <xf numFmtId="164" fontId="15" fillId="2" borderId="0" xfId="1" applyNumberFormat="1" applyFont="1" applyFill="1"/>
    <xf numFmtId="164" fontId="56" fillId="2" borderId="0" xfId="1" applyNumberFormat="1" applyFont="1" applyFill="1"/>
    <xf numFmtId="0" fontId="8" fillId="2" borderId="13" xfId="0" applyFont="1" applyFill="1" applyBorder="1"/>
    <xf numFmtId="41" fontId="8" fillId="2" borderId="13" xfId="2" applyFont="1" applyFill="1" applyBorder="1"/>
    <xf numFmtId="0" fontId="2" fillId="6" borderId="13" xfId="0" applyFont="1" applyFill="1" applyBorder="1" applyAlignment="1">
      <alignment vertical="center"/>
    </xf>
    <xf numFmtId="0" fontId="7" fillId="6" borderId="13" xfId="0" applyFont="1" applyFill="1" applyBorder="1"/>
    <xf numFmtId="0" fontId="6" fillId="2" borderId="13" xfId="0" applyFont="1" applyFill="1" applyBorder="1"/>
    <xf numFmtId="0" fontId="7" fillId="6" borderId="13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left" vertical="center"/>
    </xf>
    <xf numFmtId="164" fontId="15" fillId="0" borderId="0" xfId="1" applyNumberFormat="1" applyFont="1"/>
    <xf numFmtId="164" fontId="37" fillId="0" borderId="2" xfId="1" applyNumberFormat="1" applyFont="1" applyBorder="1" applyAlignment="1">
      <alignment vertical="center"/>
    </xf>
    <xf numFmtId="41" fontId="29" fillId="0" borderId="2" xfId="1" applyNumberFormat="1" applyFont="1" applyBorder="1"/>
    <xf numFmtId="0" fontId="24" fillId="0" borderId="4" xfId="0" applyFont="1" applyBorder="1"/>
    <xf numFmtId="0" fontId="32" fillId="2" borderId="0" xfId="0" applyFont="1" applyFill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33" fillId="2" borderId="0" xfId="0" applyFont="1" applyFill="1" applyAlignment="1">
      <alignment horizontal="right" vertical="center"/>
    </xf>
    <xf numFmtId="0" fontId="19" fillId="6" borderId="0" xfId="0" applyFont="1" applyFill="1" applyAlignment="1">
      <alignment horizontal="center"/>
    </xf>
    <xf numFmtId="0" fontId="17" fillId="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/>
    </xf>
    <xf numFmtId="0" fontId="17" fillId="4" borderId="0" xfId="0" applyFont="1" applyFill="1" applyAlignment="1">
      <alignment horizontal="left" vertical="center"/>
    </xf>
    <xf numFmtId="0" fontId="45" fillId="0" borderId="6" xfId="0" applyFont="1" applyBorder="1" applyAlignment="1">
      <alignment horizontal="center"/>
    </xf>
    <xf numFmtId="0" fontId="45" fillId="0" borderId="7" xfId="0" applyFont="1" applyBorder="1" applyAlignment="1">
      <alignment horizontal="center"/>
    </xf>
    <xf numFmtId="0" fontId="45" fillId="0" borderId="8" xfId="0" applyFont="1" applyBorder="1" applyAlignment="1">
      <alignment horizontal="center"/>
    </xf>
    <xf numFmtId="0" fontId="46" fillId="0" borderId="6" xfId="0" applyFont="1" applyBorder="1" applyAlignment="1">
      <alignment horizontal="center"/>
    </xf>
    <xf numFmtId="0" fontId="46" fillId="0" borderId="7" xfId="0" applyFont="1" applyBorder="1" applyAlignment="1">
      <alignment horizontal="center"/>
    </xf>
    <xf numFmtId="0" fontId="46" fillId="0" borderId="8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8" xfId="0" applyFont="1" applyBorder="1" applyAlignment="1">
      <alignment horizontal="center"/>
    </xf>
  </cellXfs>
  <cellStyles count="10">
    <cellStyle name="Comma" xfId="1" builtinId="3"/>
    <cellStyle name="Comma [0]" xfId="2" builtinId="6"/>
    <cellStyle name="Comma 4 2 2" xfId="6" xr:uid="{ECE2635B-7BB3-47AE-8297-F9EA14D98729}"/>
    <cellStyle name="Hyperlink" xfId="4" builtinId="8"/>
    <cellStyle name="Normal" xfId="0" builtinId="0"/>
    <cellStyle name="Normal 10" xfId="9" xr:uid="{38FEF3CF-7FCC-46CD-835B-920F3B4A8813}"/>
    <cellStyle name="Normal 3 2 2" xfId="5" xr:uid="{9050BAA6-6F27-4D41-856D-09B89C023654}"/>
    <cellStyle name="Normal_Ahold3-backup" xfId="8" xr:uid="{F9FCBF9B-09C8-4713-887C-676EC94AEC60}"/>
    <cellStyle name="Percent" xfId="3" builtinId="5"/>
    <cellStyle name="Percent 3 2 2" xfId="7" xr:uid="{62C8F595-A02E-411B-A3A4-96B6A70A02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tích'!$B$4</c:f>
              <c:strCache>
                <c:ptCount val="1"/>
                <c:pt idx="0">
                  <c:v>Tăng trưởng lợi nhuận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tích'!$C$4:$F$4</c:f>
              <c:numCache>
                <c:formatCode>0.0%</c:formatCode>
                <c:ptCount val="4"/>
                <c:pt idx="0">
                  <c:v>-2.8862158390688952E-3</c:v>
                </c:pt>
                <c:pt idx="1">
                  <c:v>0.18765860723481209</c:v>
                </c:pt>
                <c:pt idx="2">
                  <c:v>0.36373547709118625</c:v>
                </c:pt>
                <c:pt idx="3">
                  <c:v>0.10479589361348118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3-4493-93A5-95C02155FF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tích'!$B$5</c:f>
              <c:strCache>
                <c:ptCount val="1"/>
                <c:pt idx="0">
                  <c:v>Tăng trưởng tín dụng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tích'!$C$5:$F$5</c:f>
              <c:numCache>
                <c:formatCode>0.0%</c:formatCode>
                <c:ptCount val="4"/>
                <c:pt idx="0">
                  <c:v>0.13289614856561993</c:v>
                </c:pt>
                <c:pt idx="1">
                  <c:v>0.1392108354673296</c:v>
                </c:pt>
                <c:pt idx="2">
                  <c:v>0.19845704741769388</c:v>
                </c:pt>
                <c:pt idx="3">
                  <c:v>0.10835484050391853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tích'!$B$6</c:f>
              <c:strCache>
                <c:ptCount val="1"/>
                <c:pt idx="0">
                  <c:v>Đòn bẩy tài chính A/E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tích'!$C$6:$F$6</c:f>
              <c:numCache>
                <c:formatCode>_(* #,##0.00_);_(* \(#,##0.00\);_(* "-"??_);_(@_)</c:formatCode>
                <c:ptCount val="4"/>
                <c:pt idx="0">
                  <c:v>14.094589382925522</c:v>
                </c:pt>
                <c:pt idx="1">
                  <c:v>12.964684621818266</c:v>
                </c:pt>
                <c:pt idx="2">
                  <c:v>13.371673572444056</c:v>
                </c:pt>
                <c:pt idx="3">
                  <c:v>11.148315111762392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tích'!$B$7</c:f>
              <c:strCache>
                <c:ptCount val="1"/>
                <c:pt idx="0">
                  <c:v>Tỷ lệ nợ xấu (NPL)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tích'!$C$7:$F$7</c:f>
              <c:numCache>
                <c:formatCode>0.00%</c:formatCode>
                <c:ptCount val="4"/>
                <c:pt idx="0">
                  <c:v>6.227247084607675E-3</c:v>
                </c:pt>
                <c:pt idx="1">
                  <c:v>6.3711978003683587E-3</c:v>
                </c:pt>
                <c:pt idx="2">
                  <c:v>6.8296668424206895E-3</c:v>
                </c:pt>
                <c:pt idx="3">
                  <c:v>9.8042890423280342E-3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tích'!$B$8</c:f>
              <c:strCache>
                <c:ptCount val="1"/>
                <c:pt idx="0">
                  <c:v>Tỷ lệ nợ quá hạn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tích'!$C$8:$F$8</c:f>
              <c:numCache>
                <c:formatCode>0.0%</c:formatCode>
                <c:ptCount val="4"/>
                <c:pt idx="0">
                  <c:v>1.1412095697298707E-2</c:v>
                </c:pt>
                <c:pt idx="1">
                  <c:v>1.0011929690904862E-2</c:v>
                </c:pt>
                <c:pt idx="2">
                  <c:v>1.0395712911807528E-2</c:v>
                </c:pt>
                <c:pt idx="3">
                  <c:v>1.4180768384957378E-2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tích'!$B$9</c:f>
              <c:strCache>
                <c:ptCount val="1"/>
                <c:pt idx="0">
                  <c:v>Tỷ lệ bao phủ nợ xấu (LLR)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tích'!$C$9:$F$9</c:f>
              <c:numCache>
                <c:formatCode>0%</c:formatCode>
                <c:ptCount val="4"/>
                <c:pt idx="0">
                  <c:v>3.6796137501962405</c:v>
                </c:pt>
                <c:pt idx="1">
                  <c:v>4.2436080408708987</c:v>
                </c:pt>
                <c:pt idx="2">
                  <c:v>3.1685529461904931</c:v>
                </c:pt>
                <c:pt idx="3">
                  <c:v>2.3029916498373701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tích'!$B$10</c:f>
              <c:strCache>
                <c:ptCount val="1"/>
                <c:pt idx="0">
                  <c:v>Dự phòng rủi ro tín dụng/Cho vay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tích'!$C$10:$F$10</c:f>
              <c:numCache>
                <c:formatCode>0.0%</c:formatCode>
                <c:ptCount val="4"/>
                <c:pt idx="0">
                  <c:v>2.2913863998391851E-2</c:v>
                </c:pt>
                <c:pt idx="1">
                  <c:v>2.7036866215622152E-2</c:v>
                </c:pt>
                <c:pt idx="2">
                  <c:v>2.1640160995051599E-2</c:v>
                </c:pt>
                <c:pt idx="3">
                  <c:v>2.2579195797073487E-2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tích'!$B$11</c:f>
              <c:strCache>
                <c:ptCount val="1"/>
                <c:pt idx="0">
                  <c:v>Chi phí hoạt động/Thu nhập hoạt động (CIR)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tích'!$C$11:$F$11</c:f>
              <c:numCache>
                <c:formatCode>0%</c:formatCode>
                <c:ptCount val="4"/>
                <c:pt idx="0">
                  <c:v>0.32689399434081495</c:v>
                </c:pt>
                <c:pt idx="1">
                  <c:v>0.30982161929902535</c:v>
                </c:pt>
                <c:pt idx="2">
                  <c:v>0.31212737204294166</c:v>
                </c:pt>
                <c:pt idx="3">
                  <c:v>0.3235938971932652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tích'!$B$12</c:f>
              <c:strCache>
                <c:ptCount val="1"/>
                <c:pt idx="0">
                  <c:v>Chi phí lãi/Tiền gửi khách hàng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tích'!$C$12:$F$12</c:f>
              <c:numCache>
                <c:formatCode>0.0%</c:formatCode>
                <c:ptCount val="4"/>
                <c:pt idx="0">
                  <c:v>3.1895384434957243E-2</c:v>
                </c:pt>
                <c:pt idx="1">
                  <c:v>2.4970305544863475E-2</c:v>
                </c:pt>
                <c:pt idx="2">
                  <c:v>2.8039490194681424E-2</c:v>
                </c:pt>
                <c:pt idx="3">
                  <c:v>3.9049582495846231E-2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tích'!$B$13</c:f>
              <c:strCache>
                <c:ptCount val="1"/>
                <c:pt idx="0">
                  <c:v>Chi phí hoạt động/Tổng tài sản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tích'!$C$13:$F$13</c:f>
              <c:numCache>
                <c:formatCode>0.0%</c:formatCode>
                <c:ptCount val="4"/>
                <c:pt idx="0">
                  <c:v>1.2093112723610256E-2</c:v>
                </c:pt>
                <c:pt idx="1">
                  <c:v>1.2422795324866218E-2</c:v>
                </c:pt>
                <c:pt idx="2">
                  <c:v>1.1715919213532655E-2</c:v>
                </c:pt>
                <c:pt idx="3">
                  <c:v>1.1912775481185692E-2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tích'!$B$14</c:f>
              <c:strCache>
                <c:ptCount val="1"/>
                <c:pt idx="0">
                  <c:v>Chi phí vốn (COF)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tích'!$C$14:$F$14</c:f>
              <c:numCache>
                <c:formatCode>0.0%</c:formatCode>
                <c:ptCount val="4"/>
                <c:pt idx="0">
                  <c:v>2.8453433341699294E-2</c:v>
                </c:pt>
                <c:pt idx="1">
                  <c:v>2.2954483011531728E-2</c:v>
                </c:pt>
                <c:pt idx="2">
                  <c:v>2.4548754022003218E-2</c:v>
                </c:pt>
                <c:pt idx="3">
                  <c:v>3.4066019868598058E-2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tích'!$B$15</c:f>
              <c:strCache>
                <c:ptCount val="1"/>
                <c:pt idx="0">
                  <c:v>Mức sinh lời trên tài sản (YEA)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tích'!$C$15:$F$15</c:f>
              <c:numCache>
                <c:formatCode>0.0%</c:formatCode>
                <c:ptCount val="4"/>
                <c:pt idx="0">
                  <c:v>5.5628880466611685E-2</c:v>
                </c:pt>
                <c:pt idx="1">
                  <c:v>5.2753106001297373E-2</c:v>
                </c:pt>
                <c:pt idx="2">
                  <c:v>5.62764284533495E-2</c:v>
                </c:pt>
                <c:pt idx="3">
                  <c:v>6.0705340302042415E-2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tích'!$B$16</c:f>
              <c:strCache>
                <c:ptCount val="1"/>
                <c:pt idx="0">
                  <c:v>Chênh lêch lãi suất đầu vào đầu ra (NIM)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tích'!$C$16:$F$16</c:f>
              <c:numCache>
                <c:formatCode>0.0%</c:formatCode>
                <c:ptCount val="4"/>
                <c:pt idx="0">
                  <c:v>2.7915764016528382E-2</c:v>
                </c:pt>
                <c:pt idx="1">
                  <c:v>3.0669944484866405E-2</c:v>
                </c:pt>
                <c:pt idx="2">
                  <c:v>3.0444368099212846E-2</c:v>
                </c:pt>
                <c:pt idx="3">
                  <c:v>2.9572121880457113E-2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tích'!$B$17</c:f>
              <c:strCache>
                <c:ptCount val="1"/>
                <c:pt idx="0">
                  <c:v>Tỷ lệ thu nhập thuần từ hoạt động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tích'!$C$17:$F$17</c:f>
              <c:numCache>
                <c:formatCode>0%</c:formatCode>
                <c:ptCount val="4"/>
                <c:pt idx="0">
                  <c:v>0.21580951137447205</c:v>
                </c:pt>
                <c:pt idx="1">
                  <c:v>0.19897401025665362</c:v>
                </c:pt>
                <c:pt idx="2">
                  <c:v>0.18249841615699208</c:v>
                </c:pt>
                <c:pt idx="3">
                  <c:v>0.18653415857564989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tích'!$B$19</c:f>
              <c:strCache>
                <c:ptCount val="1"/>
                <c:pt idx="0">
                  <c:v>LNST/VCSH (ROE)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tích'!$C$19:$F$19</c:f>
              <c:numCache>
                <c:formatCode>0.0%</c:formatCode>
                <c:ptCount val="4"/>
                <c:pt idx="0">
                  <c:v>0.21114108193316986</c:v>
                </c:pt>
                <c:pt idx="1">
                  <c:v>0.21592233567353861</c:v>
                </c:pt>
                <c:pt idx="2">
                  <c:v>0.24447318892894634</c:v>
                </c:pt>
                <c:pt idx="3">
                  <c:v>0.21988016573646976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tích'!$B$18</c:f>
              <c:strCache>
                <c:ptCount val="1"/>
                <c:pt idx="0">
                  <c:v>LNST/TTS (ROA)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tích'!$C$18:$F$18</c:f>
              <c:numCache>
                <c:formatCode>0.0%</c:formatCode>
                <c:ptCount val="4"/>
                <c:pt idx="0">
                  <c:v>1.449422358968782E-2</c:v>
                </c:pt>
                <c:pt idx="1">
                  <c:v>1.600862749932027E-2</c:v>
                </c:pt>
                <c:pt idx="2">
                  <c:v>1.8534407593852307E-2</c:v>
                </c:pt>
                <c:pt idx="3">
                  <c:v>1.8095030021401531E-2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tích'!$B$20</c:f>
              <c:strCache>
                <c:ptCount val="1"/>
                <c:pt idx="0">
                  <c:v>Tiền gửi không kỳ hạn/Tổng tiền gửi (CASA)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tích'!$C$20:$F$20</c:f>
              <c:numCache>
                <c:formatCode>0.0%</c:formatCode>
                <c:ptCount val="4"/>
                <c:pt idx="0">
                  <c:v>0.29747325470434394</c:v>
                </c:pt>
                <c:pt idx="1">
                  <c:v>0.32338707816858958</c:v>
                </c:pt>
                <c:pt idx="2">
                  <c:v>0.32337273712829029</c:v>
                </c:pt>
                <c:pt idx="3">
                  <c:v>0.33052430079713019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tích'!$B$21</c:f>
              <c:strCache>
                <c:ptCount val="1"/>
                <c:pt idx="0">
                  <c:v>Dư nợ cấp tín dụng/Vốn huy động (LDR)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tích'!$C$21:$F$21</c:f>
              <c:numCache>
                <c:formatCode>0.0%</c:formatCode>
                <c:ptCount val="4"/>
                <c:pt idx="0">
                  <c:v>0.79725187273361287</c:v>
                </c:pt>
                <c:pt idx="1">
                  <c:v>0.83346945150186125</c:v>
                </c:pt>
                <c:pt idx="2">
                  <c:v>0.90247517792047016</c:v>
                </c:pt>
                <c:pt idx="3">
                  <c:v>0.89739321423978913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'Số liệu-Phân tích'!$B$22</c:f>
              <c:strCache>
                <c:ptCount val="1"/>
                <c:pt idx="0">
                  <c:v>Tài sản thanh khoản cao/Tổng tài sản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'Số liệu-Phân tích'!$C$3:$F$3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'Số liệu-Phân tích'!$C$22:$F$22</c:f>
              <c:numCache>
                <c:formatCode>0.0%</c:formatCode>
                <c:ptCount val="4"/>
                <c:pt idx="0">
                  <c:v>0.2384234937115271</c:v>
                </c:pt>
                <c:pt idx="1">
                  <c:v>0.18822943587582219</c:v>
                </c:pt>
                <c:pt idx="2">
                  <c:v>0.23406121749439335</c:v>
                </c:pt>
                <c:pt idx="3">
                  <c:v>0.22237172436289512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B-445E-810E-3CBC9EBA1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598592"/>
        <c:axId val="1329586112"/>
      </c:barChart>
      <c:catAx>
        <c:axId val="13295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329586112"/>
        <c:crosses val="autoZero"/>
        <c:auto val="1"/>
        <c:lblAlgn val="ctr"/>
        <c:lblOffset val="100"/>
        <c:noMultiLvlLbl val="0"/>
      </c:catAx>
      <c:valAx>
        <c:axId val="1329586112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295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'M&#7909;c l&#7909;c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10.xml"/><Relationship Id="rId18" Type="http://schemas.openxmlformats.org/officeDocument/2006/relationships/chart" Target="../charts/chart15.xml"/><Relationship Id="rId3" Type="http://schemas.openxmlformats.org/officeDocument/2006/relationships/image" Target="../media/image3.svg"/><Relationship Id="rId21" Type="http://schemas.openxmlformats.org/officeDocument/2006/relationships/chart" Target="../charts/chart18.xml"/><Relationship Id="rId7" Type="http://schemas.openxmlformats.org/officeDocument/2006/relationships/chart" Target="../charts/chart4.xml"/><Relationship Id="rId12" Type="http://schemas.openxmlformats.org/officeDocument/2006/relationships/chart" Target="../charts/chart9.xml"/><Relationship Id="rId17" Type="http://schemas.openxmlformats.org/officeDocument/2006/relationships/chart" Target="../charts/chart14.xml"/><Relationship Id="rId2" Type="http://schemas.openxmlformats.org/officeDocument/2006/relationships/image" Target="../media/image2.png"/><Relationship Id="rId16" Type="http://schemas.openxmlformats.org/officeDocument/2006/relationships/chart" Target="../charts/chart13.xml"/><Relationship Id="rId20" Type="http://schemas.openxmlformats.org/officeDocument/2006/relationships/chart" Target="../charts/chart17.xml"/><Relationship Id="rId1" Type="http://schemas.openxmlformats.org/officeDocument/2006/relationships/hyperlink" Target="#'M&#7909;c l&#7909;c'!A1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5" Type="http://schemas.openxmlformats.org/officeDocument/2006/relationships/chart" Target="../charts/chart12.xml"/><Relationship Id="rId10" Type="http://schemas.openxmlformats.org/officeDocument/2006/relationships/chart" Target="../charts/chart7.xml"/><Relationship Id="rId19" Type="http://schemas.openxmlformats.org/officeDocument/2006/relationships/chart" Target="../charts/chart16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Relationship Id="rId14" Type="http://schemas.openxmlformats.org/officeDocument/2006/relationships/chart" Target="../charts/chart11.xml"/><Relationship Id="rId22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'M&#7909;c l&#7909;c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'M&#7909;c l&#7909;c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'M&#7909;c l&#7909;c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381000</xdr:colOff>
      <xdr:row>3</xdr:row>
      <xdr:rowOff>0</xdr:rowOff>
    </xdr:from>
    <xdr:to>
      <xdr:col>25</xdr:col>
      <xdr:colOff>88053</xdr:colOff>
      <xdr:row>33</xdr:row>
      <xdr:rowOff>56726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4D087FE-B961-7742-A360-4437A0BD5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79800" y="2362200"/>
          <a:ext cx="5897033" cy="60917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625231</xdr:colOff>
      <xdr:row>1</xdr:row>
      <xdr:rowOff>7620</xdr:rowOff>
    </xdr:to>
    <xdr:pic>
      <xdr:nvPicPr>
        <xdr:cNvPr id="4" name="Graphic 3" descr="Back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C99343-AB27-4A38-B270-C50E1C74A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1"/>
          <a:ext cx="625231" cy="510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625231</xdr:colOff>
      <xdr:row>1</xdr:row>
      <xdr:rowOff>22860</xdr:rowOff>
    </xdr:to>
    <xdr:pic>
      <xdr:nvPicPr>
        <xdr:cNvPr id="2" name="Graphic 1" descr="Back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7A7BCD-5228-4A7B-AE3C-E2076A5B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1"/>
          <a:ext cx="625231" cy="5181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9</xdr:col>
      <xdr:colOff>502920</xdr:colOff>
      <xdr:row>18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534F5F7-FD35-4312-809F-A79CF4D66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6</xdr:row>
      <xdr:rowOff>0</xdr:rowOff>
    </xdr:from>
    <xdr:to>
      <xdr:col>20</xdr:col>
      <xdr:colOff>487680</xdr:colOff>
      <xdr:row>18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39C2A48-BB90-4FF9-8192-0A2FF2E27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9</xdr:col>
      <xdr:colOff>487680</xdr:colOff>
      <xdr:row>36</xdr:row>
      <xdr:rowOff>7620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5FE0124-89D0-4650-876D-52042A4F7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10</xdr:col>
      <xdr:colOff>22860</xdr:colOff>
      <xdr:row>54</xdr:row>
      <xdr:rowOff>15240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CF39279-B528-426A-91E7-62188B32E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20</xdr:col>
      <xdr:colOff>487680</xdr:colOff>
      <xdr:row>53</xdr:row>
      <xdr:rowOff>190500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D1FC0F3-0072-436B-9AFE-B6C056CE2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10</xdr:col>
      <xdr:colOff>7620</xdr:colOff>
      <xdr:row>69</xdr:row>
      <xdr:rowOff>15240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7F2B592-668A-4E6B-84BC-E0F99AF4D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57</xdr:row>
      <xdr:rowOff>0</xdr:rowOff>
    </xdr:from>
    <xdr:to>
      <xdr:col>20</xdr:col>
      <xdr:colOff>487680</xdr:colOff>
      <xdr:row>69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186F047-1549-45B9-9F2A-4B9B544CE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7</xdr:col>
      <xdr:colOff>7620</xdr:colOff>
      <xdr:row>87</xdr:row>
      <xdr:rowOff>15240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5B0CDCA-D5BA-4BB3-AD7A-A62EF156A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75</xdr:row>
      <xdr:rowOff>0</xdr:rowOff>
    </xdr:from>
    <xdr:to>
      <xdr:col>14</xdr:col>
      <xdr:colOff>7620</xdr:colOff>
      <xdr:row>87</xdr:row>
      <xdr:rowOff>15240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8D7AF23-F75B-4F84-B544-3DF8E43E0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0</xdr:colOff>
      <xdr:row>75</xdr:row>
      <xdr:rowOff>0</xdr:rowOff>
    </xdr:from>
    <xdr:to>
      <xdr:col>21</xdr:col>
      <xdr:colOff>7620</xdr:colOff>
      <xdr:row>86</xdr:row>
      <xdr:rowOff>182880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92761B7-6A47-42DB-A98E-5B57B6B34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93</xdr:row>
      <xdr:rowOff>0</xdr:rowOff>
    </xdr:from>
    <xdr:to>
      <xdr:col>10</xdr:col>
      <xdr:colOff>7620</xdr:colOff>
      <xdr:row>105</xdr:row>
      <xdr:rowOff>22860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003E4EB-04DB-404E-828F-492CD34BB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0</xdr:colOff>
      <xdr:row>93</xdr:row>
      <xdr:rowOff>0</xdr:rowOff>
    </xdr:from>
    <xdr:to>
      <xdr:col>21</xdr:col>
      <xdr:colOff>30480</xdr:colOff>
      <xdr:row>105</xdr:row>
      <xdr:rowOff>45720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086CA5F-574A-4FFD-A67C-888B84122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108</xdr:row>
      <xdr:rowOff>7620</xdr:rowOff>
    </xdr:from>
    <xdr:to>
      <xdr:col>9</xdr:col>
      <xdr:colOff>502920</xdr:colOff>
      <xdr:row>120</xdr:row>
      <xdr:rowOff>45720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A063CA4-FD77-4BFA-83B2-E12B250A2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108</xdr:row>
      <xdr:rowOff>0</xdr:rowOff>
    </xdr:from>
    <xdr:to>
      <xdr:col>20</xdr:col>
      <xdr:colOff>487680</xdr:colOff>
      <xdr:row>120</xdr:row>
      <xdr:rowOff>38100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B1FB895-AE49-4E2F-AA58-48B01DB3C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15240</xdr:colOff>
      <xdr:row>123</xdr:row>
      <xdr:rowOff>7620</xdr:rowOff>
    </xdr:from>
    <xdr:to>
      <xdr:col>20</xdr:col>
      <xdr:colOff>502920</xdr:colOff>
      <xdr:row>134</xdr:row>
      <xdr:rowOff>175260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5405AB8-1975-4BBA-973E-46B686B22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123</xdr:row>
      <xdr:rowOff>0</xdr:rowOff>
    </xdr:from>
    <xdr:to>
      <xdr:col>9</xdr:col>
      <xdr:colOff>495300</xdr:colOff>
      <xdr:row>134</xdr:row>
      <xdr:rowOff>182880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E0F46C03-3CD1-4B31-985E-4C11E5CA8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141</xdr:row>
      <xdr:rowOff>0</xdr:rowOff>
    </xdr:from>
    <xdr:to>
      <xdr:col>7</xdr:col>
      <xdr:colOff>15240</xdr:colOff>
      <xdr:row>153</xdr:row>
      <xdr:rowOff>7620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59C1B87-8B47-4BE5-AECD-EA5D56769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0</xdr:colOff>
      <xdr:row>141</xdr:row>
      <xdr:rowOff>0</xdr:rowOff>
    </xdr:from>
    <xdr:to>
      <xdr:col>14</xdr:col>
      <xdr:colOff>15240</xdr:colOff>
      <xdr:row>153</xdr:row>
      <xdr:rowOff>30480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2C7FAB4-4D21-47D4-9935-61DB7B643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15</xdr:col>
      <xdr:colOff>0</xdr:colOff>
      <xdr:row>141</xdr:row>
      <xdr:rowOff>0</xdr:rowOff>
    </xdr:from>
    <xdr:to>
      <xdr:col>21</xdr:col>
      <xdr:colOff>30480</xdr:colOff>
      <xdr:row>152</xdr:row>
      <xdr:rowOff>175260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DC4CF31A-168B-4338-A5BE-FDD266F2D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38099</xdr:colOff>
      <xdr:row>0</xdr:row>
      <xdr:rowOff>662940</xdr:rowOff>
    </xdr:to>
    <xdr:pic>
      <xdr:nvPicPr>
        <xdr:cNvPr id="2" name="Graphic 1" descr="Back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E17D8-DBA0-43BA-A2A4-ED1108816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777239" cy="6629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1213</xdr:colOff>
      <xdr:row>0</xdr:row>
      <xdr:rowOff>647700</xdr:rowOff>
    </xdr:to>
    <xdr:pic>
      <xdr:nvPicPr>
        <xdr:cNvPr id="2" name="Graphic 1" descr="Back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816AF1-4DF1-40D6-8C89-C2FB62E7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03193" cy="64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391</xdr:colOff>
      <xdr:row>1</xdr:row>
      <xdr:rowOff>15241</xdr:rowOff>
    </xdr:to>
    <xdr:pic>
      <xdr:nvPicPr>
        <xdr:cNvPr id="2" name="Graphic 1" descr="Back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46EEC3-4D43-42DB-913B-3DAE4228E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1"/>
          <a:ext cx="602371" cy="617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i 1">
      <a:dk1>
        <a:sysClr val="windowText" lastClr="000000"/>
      </a:dk1>
      <a:lt1>
        <a:sysClr val="window" lastClr="FFFFFF"/>
      </a:lt1>
      <a:dk2>
        <a:srgbClr val="7F7F7F"/>
      </a:dk2>
      <a:lt2>
        <a:srgbClr val="E7E6E6"/>
      </a:lt2>
      <a:accent1>
        <a:srgbClr val="1C2C5A"/>
      </a:accent1>
      <a:accent2>
        <a:srgbClr val="1C2C5A"/>
      </a:accent2>
      <a:accent3>
        <a:srgbClr val="6BC0D2"/>
      </a:accent3>
      <a:accent4>
        <a:srgbClr val="379ABB"/>
      </a:accent4>
      <a:accent5>
        <a:srgbClr val="EBB434"/>
      </a:accent5>
      <a:accent6>
        <a:srgbClr val="C00000"/>
      </a:accent6>
      <a:hlink>
        <a:srgbClr val="FFFF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Custom 2">
    <a:dk1>
      <a:sysClr val="windowText" lastClr="000000"/>
    </a:dk1>
    <a:lt1>
      <a:sysClr val="window" lastClr="FFFFFF"/>
    </a:lt1>
    <a:dk2>
      <a:srgbClr val="7F7F7F"/>
    </a:dk2>
    <a:lt2>
      <a:srgbClr val="E7E6E6"/>
    </a:lt2>
    <a:accent1>
      <a:srgbClr val="1C2C5A"/>
    </a:accent1>
    <a:accent2>
      <a:srgbClr val="1C2C5A"/>
    </a:accent2>
    <a:accent3>
      <a:srgbClr val="6BC0D2"/>
    </a:accent3>
    <a:accent4>
      <a:srgbClr val="379ABB"/>
    </a:accent4>
    <a:accent5>
      <a:srgbClr val="EBB434"/>
    </a:accent5>
    <a:accent6>
      <a:srgbClr val="C0000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DCE0A84-E587-F641-8603-E6BC39593F6A}">
  <we:reference id="ecd8bf09-2354-4fc8-9f8b-dc3d0401c6f4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_xldudf_WI_COMPANY_FINANCIAL_STATEMENT</we:customFunctionIds>
        <we:customFunctionIds>_xldudf_WI_COMPANY_FINANCIAL_STATEMENT_ITEMS</we:customFunctionIds>
        <we:customFunctionIds>_xldudf_WI_COMPANY_FINANCIAL_STATEMENT_ITEMS_COMPANYTYPE</we:customFunctionIds>
        <we:customFunctionIds>_xldudf_WI_COMPANY_FINANCIAL_STATEMENT_TICKER</we:customFunctionIds>
        <we:customFunctionIds>_xldudf_WI_COMPANY_FINANCIAL_STATEMENT_TICKER_COMPANYTYPE</we:customFunctionIds>
        <we:customFunctionIds>_xldudf_WI_COMPANY_FINANCIAL_STATEMENT_TICKER_EXCHANGE</we:customFunctionIds>
        <we:customFunctionIds>_xldudf_WI_COMPANY_FINANCIAL_STATEMENT_TICKER_SECTOR_LEVEL</we:customFunctionIds>
        <we:customFunctionIds>_xldudf_WI_COMPANY_FINANCIAL_STATEMENT_TICKER_SECTOR_ID</we:customFunctionIds>
        <we:customFunctionIds>_xldudf_WI_COMPANY_FINANCIAL_STATEMENT_TICKER_SECTOR_ID_SECTOR_LEVEL</we:customFunctionIds>
        <we:customFunctionIds>_xldudf_WI_COMPANY_FINANCIAL_STATEMENT_TYPE</we:customFunctionIds>
        <we:customFunctionIds>_xldudf_WI_COMPANY_FINANCIAL_RATIO</we:customFunctionIds>
        <we:customFunctionIds>_xldudf_WI_COMPANY_FINANCIAL_RATIO_ITEMS</we:customFunctionIds>
        <we:customFunctionIds>_xldudf_WI_COMPANY_FINANCIAL_RATIO_ITEMS_COMPANYTYPE</we:customFunctionIds>
        <we:customFunctionIds>_xldudf_WI_COMPANY_FINANCIAL_RATIO_TICKER</we:customFunctionIds>
        <we:customFunctionIds>_xldudf_WI_COMPANY_FINANCIAL_RATIO_TICKER_COMPANYTYPE</we:customFunctionIds>
        <we:customFunctionIds>_xldudf_WI_COMPANY_FINANCIAL_RATIO_TICKER_EXCHANGE</we:customFunctionIds>
        <we:customFunctionIds>_xldudf_WI_COMPANY_FINANCIAL_RATIO_TICKER_SECTOR_LEVEL</we:customFunctionIds>
        <we:customFunctionIds>_xldudf_WI_COMPANY_FINANCIAL_RATIO_TICKER_SECTOR_ID</we:customFunctionIds>
        <we:customFunctionIds>_xldudf_WI_COMPANY_FINANCIAL_RATIO_TICKER_SECTOR_ID_SECTOR_LEVEL</we:customFunctionIds>
        <we:customFunctionIds>_xldudf_WI_COMPANY_FINANCIAL_RATIO_TYPE</we:customFunctionIds>
        <we:customFunctionIds>_xldudf_WI_COMPANY_INFO</we:customFunctionIds>
        <we:customFunctionIds>_xldudf_WI_COMPANY_INFO_TICKER</we:customFunctionIds>
        <we:customFunctionIds>_xldudf_WI_COMPANY_INFO_TICKER_COMPANYTYPE</we:customFunctionIds>
        <we:customFunctionIds>_xldudf_WI_COMPANY_INFO_TICKER_EXCHANGE</we:customFunctionIds>
        <we:customFunctionIds>_xldudf_WI_COMPANY_INFO_TICKER_SECTOR_LEVEL</we:customFunctionIds>
        <we:customFunctionIds>_xldudf_WI_COMPANY_INFO_TICKER_SECTOR_ID</we:customFunctionIds>
        <we:customFunctionIds>_xldudf_WI_COMPANY_INFO_TICKER_SECTOR_ID_SECTOR_LEVEL</we:customFunctionIds>
        <we:customFunctionIds>_xldudf_WI_COMPANY_INFO_EXCHANGE</we:customFunctionIds>
        <we:customFunctionIds>_xldudf_WI_COMPANY_INFO_COMPANYTYPE</we:customFunctionIds>
        <we:customFunctionIds>_xldudf_WI_COMPANY_INFO_ITEMS</we:customFunctionIds>
        <we:customFunctionIds>_xldudf_WI_COMPANY_LEADER</we:customFunctionIds>
        <we:customFunctionIds>_xldudf_WI_COMPANY_LEADER_TICKER</we:customFunctionIds>
        <we:customFunctionIds>_xldudf_WI_COMPANY_LEADER_TICKER_COMPANYTYPE</we:customFunctionIds>
        <we:customFunctionIds>_xldudf_WI_COMPANY_LEADER_TICKER_EXCHANGE</we:customFunctionIds>
        <we:customFunctionIds>_xldudf_WI_COMPANY_LEADER_TICKER_SECTOR_LEVEL</we:customFunctionIds>
        <we:customFunctionIds>_xldudf_WI_COMPANY_LEADER_TICKER_SECTOR_ID</we:customFunctionIds>
        <we:customFunctionIds>_xldudf_WI_COMPANY_LEADER_TICKER_SECTOR_ID_SECTOR_LEVEL</we:customFunctionIds>
        <we:customFunctionIds>_xldudf_WI_COMPANY_HOLDER</we:customFunctionIds>
        <we:customFunctionIds>_xldudf_WI_COMPANY_HOLDER_TICKER</we:customFunctionIds>
        <we:customFunctionIds>_xldudf_WI_COMPANY_HOLDER_TICKER_COMPANYTYPE</we:customFunctionIds>
        <we:customFunctionIds>_xldudf_WI_COMPANY_HOLDER_TICKER_EXCHANGE</we:customFunctionIds>
        <we:customFunctionIds>_xldudf_WI_COMPANY_HOLDER_TICKER_SECTOR_LEVEL</we:customFunctionIds>
        <we:customFunctionIds>_xldudf_WI_COMPANY_HOLDER_TICKER_SECTOR_ID</we:customFunctionIds>
        <we:customFunctionIds>_xldudf_WI_COMPANY_HOLDER_TICKER_SECTOR_ID_SECTOR_LEVEL</we:customFunctionIds>
        <we:customFunctionIds>_xldudf_WI_COMPANY_HOLDERSTOCKHOLD</we:customFunctionIds>
        <we:customFunctionIds>_xldudf_WI_COMPANY_HOLDERSTOCKHOLD_NAME</we:customFunctionIds>
        <we:customFunctionIds>_xldudf_WI_COMPANY_HOLDERSTOCKHOLD_NAME_TICKER</we:customFunctionIds>
        <we:customFunctionIds>_xldudf_WI_COMPANY_HOLDERSTOCKHOLD_NAME_TICKER_COMPANYTYPE</we:customFunctionIds>
        <we:customFunctionIds>_xldudf_WI_COMPANY_HOLDERSTOCKHOLD_NAME_TICKER_EXCHANGE</we:customFunctionIds>
        <we:customFunctionIds>_xldudf_WI_COMPANY_HOLDERSTOCKHOLD_NAME_TICKER_SECTOR_LEVEL</we:customFunctionIds>
        <we:customFunctionIds>_xldudf_WI_COMPANY_HOLDERSTOCKHOLD_NAME_TICKER_SECTOR_ID</we:customFunctionIds>
        <we:customFunctionIds>_xldudf_WI_COMPANY_HOLDERSTOCKHOLD_NAME_TICKER_SECTOR_ID_SECTOR_LEVEL</we:customFunctionIds>
        <we:customFunctionIds>_xldudf_WI_COMPANY_HOLDERSTOCKHOLD_TICKER</we:customFunctionIds>
        <we:customFunctionIds>_xldudf_WI_COMPANY_HOLDERSTOCKHOLD_TICKER_COMPANYTYPE</we:customFunctionIds>
        <we:customFunctionIds>_xldudf_WI_COMPANY_HOLDERSTOCKHOLD_TICKER_EXCHANGE</we:customFunctionIds>
        <we:customFunctionIds>_xldudf_WI_COMPANY_HOLDERSTOCKHOLD_TICKER_SECTOR_LEVEL</we:customFunctionIds>
        <we:customFunctionIds>_xldudf_WI_COMPANY_HOLDERSTOCKHOLD_TICKER_SECTOR_ID</we:customFunctionIds>
        <we:customFunctionIds>_xldudf_WI_COMPANY_HOLDERSTOCKHOLD_TICKER_SECTOR_ID_SECTOR_LEVEL</we:customFunctionIds>
        <we:customFunctionIds>_xldudf_WI_COMPANY_HOLDERSTOCKHOLD_HISTORY</we:customFunctionIds>
        <we:customFunctionIds>_xldudf_WI_COMPANY_SUBCOMPANY</we:customFunctionIds>
        <we:customFunctionIds>_xldudf_WI_COMPANY_SUBCOMPANY_TICKER</we:customFunctionIds>
        <we:customFunctionIds>_xldudf_WI_COMPANY_SUBCOMPANY_TICKER_COMPANYTYPE</we:customFunctionIds>
        <we:customFunctionIds>_xldudf_WI_COMPANY_SUBCOMPANY_TICKER_EXCHANGE</we:customFunctionIds>
        <we:customFunctionIds>_xldudf_WI_COMPANY_SUBCOMPANY_TICKER_SECTOR_LEVEL</we:customFunctionIds>
        <we:customFunctionIds>_xldudf_WI_COMPANY_SUBCOMPANY_TICKER_SECTOR_ID</we:customFunctionIds>
        <we:customFunctionIds>_xldudf_WI_COMPANY_SUBCOMPANY_TICKER_SECTOR_ID_SECTOR_LEVEL</we:customFunctionIds>
        <we:customFunctionIds>_xldudf_WI_COMPANY_EVENT</we:customFunctionIds>
        <we:customFunctionIds>_xldudf_WI_COMPANY_EVENT_TICKER</we:customFunctionIds>
        <we:customFunctionIds>_xldudf_WI_COMPANY_EVENT_TICKER_COMPANYTYPE</we:customFunctionIds>
        <we:customFunctionIds>_xldudf_WI_COMPANY_EVENT_TICKER_EXCHANGE</we:customFunctionIds>
        <we:customFunctionIds>_xldudf_WI_COMPANY_EVENT_TICKER_SECTOR_LEVEL</we:customFunctionIds>
        <we:customFunctionIds>_xldudf_WI_COMPANY_EVENT_TICKER_SECTOR_ID</we:customFunctionIds>
        <we:customFunctionIds>_xldudf_WI_COMPANY_EVENT_TICKER_SECTOR_ID_SECTOR_LEVEL</we:customFunctionIds>
        <we:customFunctionIds>_xldudf_WI_COMPANY_AUDIT</we:customFunctionIds>
        <we:customFunctionIds>_xldudf_WI_COMPANY_AUDIT_TICKER</we:customFunctionIds>
        <we:customFunctionIds>_xldudf_WI_COMPANY_AUDIT_TICKER_COMPANYTYPE</we:customFunctionIds>
        <we:customFunctionIds>_xldudf_WI_COMPANY_AUDIT_TICKER_EXCHANGE</we:customFunctionIds>
        <we:customFunctionIds>_xldudf_WI_COMPANY_AUDIT_TICKER_SECTOR_LEVEL</we:customFunctionIds>
        <we:customFunctionIds>_xldudf_WI_COMPANY_AUDIT_TICKER_SECTOR_ID</we:customFunctionIds>
        <we:customFunctionIds>_xldudf_WI_COMPANY_AUDIT_TICKER_SECTOR_ID_SECTOR_LEVEL</we:customFunctionIds>
        <we:customFunctionIds>_xldudf_WI_COMPANY_FINANCIAL_PLANNING</we:customFunctionIds>
        <we:customFunctionIds>_xldudf_WI_COMPANY_FINANCIAL_PLANNING_TICKER</we:customFunctionIds>
        <we:customFunctionIds>_xldudf_WI_COMPANY_FINANCIAL_PLANNING_TICKER_COMPANYTYPE</we:customFunctionIds>
        <we:customFunctionIds>_xldudf_WI_COMPANY_FINANCIAL_PLANNING_TICKER_EXCHANGE</we:customFunctionIds>
        <we:customFunctionIds>_xldudf_WI_COMPANY_FINANCIAL_PLANNING_TICKER_SECTOR_LEVEL</we:customFunctionIds>
        <we:customFunctionIds>_xldudf_WI_COMPANY_FINANCIAL_PLANNING_TICKER_SECTOR_ID</we:customFunctionIds>
        <we:customFunctionIds>_xldudf_WI_COMPANY_FINANCIAL_PLANNING_TICKER_SECTOR_ID_SECTOR_LEVEL</we:customFunctionIds>
        <we:customFunctionIds>_xldudf_WI_COMPANY_INSIDER_TRANSACTION</we:customFunctionIds>
        <we:customFunctionIds>_xldudf_WI_COMPANY_INSIDER_TRANSACTION_TICKER</we:customFunctionIds>
        <we:customFunctionIds>_xldudf_WI_COMPANY_INSIDER_TRANSACTION_TICKER_COMPANYTYPE</we:customFunctionIds>
        <we:customFunctionIds>_xldudf_WI_COMPANY_INSIDER_TRANSACTION_TICKER_EXCHANGE</we:customFunctionIds>
        <we:customFunctionIds>_xldudf_WI_COMPANY_INSIDER_TRANSACTION_TICKER_SECTOR_LEVEL</we:customFunctionIds>
        <we:customFunctionIds>_xldudf_WI_COMPANY_INSIDER_TRANSACTION_TICKER_SECTOR_ID</we:customFunctionIds>
        <we:customFunctionIds>_xldudf_WI_COMPANY_INSIDER_TRANSACTION_TICKER_SECTOR_ID_SECTOR_LEVEL</we:customFunctionIds>
        <we:customFunctionIds>_xldudf_WI_CHOOSE</we:customFunctionIds>
        <we:customFunctionIds>_xldudf_WI_STOCKMARKET_PRICE</we:customFunctionIds>
        <we:customFunctionIds>_xldudf_WI_STOCKMARKET_PRICE_TICKER</we:customFunctionIds>
        <we:customFunctionIds>_xldudf_WI_STOCKMARKET_PRICE_TICKER_COMPANYTYPE</we:customFunctionIds>
        <we:customFunctionIds>_xldudf_WI_STOCKMARKET_PRICE_TICKER_EXCHANGE</we:customFunctionIds>
        <we:customFunctionIds>_xldudf_WI_STOCKMARKET_PRICE_TICKER_SECTOR_LEVEL</we:customFunctionIds>
        <we:customFunctionIds>_xldudf_WI_STOCKMARKET_PRICE_TICKER_SECTOR_ID</we:customFunctionIds>
        <we:customFunctionIds>_xldudf_WI_STOCKMARKET_PRICE_TICKER_SECTOR_ID_SECTOR_LEVEL</we:customFunctionIds>
        <we:customFunctionIds>_xldudf_WI_STOCKMARKET_PRICE_ITEMS</we:customFunctionIds>
        <we:customFunctionIds>_xldudf_WI_STOCKMARKET_PRICE_REALTIME</we:customFunctionIds>
        <we:customFunctionIds>_xldudf_WI_STOCKMARKET_PRICE_REALTIME_TICKER</we:customFunctionIds>
        <we:customFunctionIds>_xldudf_WI_STOCKMARKET_PRICE_REALTIME_TICKER_COMPANYTYPE</we:customFunctionIds>
        <we:customFunctionIds>_xldudf_WI_STOCKMARKET_PRICE_REALTIME_TICKER_EXCHANGE</we:customFunctionIds>
        <we:customFunctionIds>_xldudf_WI_STOCKMARKET_PRICE_REALTIME_TICKER_SECTOR_LEVEL</we:customFunctionIds>
        <we:customFunctionIds>_xldudf_WI_STOCKMARKET_PRICE_REALTIME_TICKER_SECTOR_ID</we:customFunctionIds>
        <we:customFunctionIds>_xldudf_WI_STOCKMARKET_PRICE_REALTIME_TICKER_SECTOR_ID_SECTOR_LEVEL</we:customFunctionIds>
        <we:customFunctionIds>_xldudf_WI_STOCKMARKET_PRICE_REALTIME_ITEMS</we:customFunctionIds>
        <we:customFunctionIds>_xldudf_WI_STOCKMARKET_INDEX_GLOBAL</we:customFunctionIds>
        <we:customFunctionIds>_xldudf_WI_STOCKMARKET_INDEX_GLOBAL_INDEX</we:customFunctionIds>
        <we:customFunctionIds>_xldudf_WI_STOCKMARKET_INDEX_SECTOR</we:customFunctionIds>
        <we:customFunctionIds>_xldudf_WI_STOCKMARKET_INDEX_SECTOR_SECTOR_LEVEL</we:customFunctionIds>
        <we:customFunctionIds>_xldudf_WI_STOCKMARKET_INDEX_SECTOR_SECTOR_ID</we:customFunctionIds>
        <we:customFunctionIds>_xldudf_WI_STOCKMARKET_INDEX_SECTOR_SECTOR_ID_SECTOR_LEVEL</we:customFunctionIds>
        <we:customFunctionIds>_xldudf_WI_REPORT_COMPANY</we:customFunctionIds>
        <we:customFunctionIds>_xldudf_WI_REPORT_COMPANY_TICKER</we:customFunctionIds>
        <we:customFunctionIds>_xldudf_WI_REPORT_COMPANY_TICKER_COMPANYTYPE</we:customFunctionIds>
        <we:customFunctionIds>_xldudf_WI_REPORT_COMPANY_TICKER_EXCHANGE</we:customFunctionIds>
        <we:customFunctionIds>_xldudf_WI_REPORT_COMPANY_TICKER_SECTOR_LEVEL</we:customFunctionIds>
        <we:customFunctionIds>_xldudf_WI_REPORT_COMPANY_TICKER_SECTOR_ID</we:customFunctionIds>
        <we:customFunctionIds>_xldudf_WI_REPORT_COMPANY_TICKER_SECTOR_ID_SECTOR_LEVEL</we:customFunctionIds>
        <we:customFunctionIds>_xldudf_WI_REPORT_COMPANY_RECOMMENDATION</we:customFunctionIds>
        <we:customFunctionIds>_xldudf_WI_REPORT_COMPANY_SOURCE</we:customFunctionIds>
        <we:customFunctionIds>_xldudf_WI_REPORT_SECTOR</we:customFunctionIds>
        <we:customFunctionIds>_xldudf_WI_REPORT_SECTOR_SECTOR</we:customFunctionIds>
        <we:customFunctionIds>_xldudf_WI_REPORT_SECTOR_RECOMMENDATION</we:customFunctionIds>
        <we:customFunctionIds>_xldudf_WI_REPORT_SECTOR_SOURCE</we:customFunctionIds>
        <we:customFunctionIds>_xldudf_WI_REPORT_MACRO</we:customFunctionIds>
        <we:customFunctionIds>_xldudf_WI_REPORT_MACRO_SOURCE</we:customFunctionIds>
        <we:customFunctionIds>_xldudf_WI_REPORT_STRATEGY</we:customFunctionIds>
        <we:customFunctionIds>_xldudf_WI_REPORT_STRATEGY_SOURCE</we:customFunctionIds>
        <we:customFunctionIds>_xldudf_WI_SECTOR_ID</we:customFunctionIds>
        <we:customFunctionIds>_xldudf_WI_SECTOR_ID_SECTOR_LEVEL</we:customFunctionIds>
        <we:customFunctionIds>_xldudf_WI_SECTOR_FINANCIAL_STATEMENT</we:customFunctionIds>
        <we:customFunctionIds>_xldudf_WI_SECTOR_FINANCIAL_STATEMENT_SECTOR_LEVEL</we:customFunctionIds>
        <we:customFunctionIds>_xldudf_WI_SECTOR_FINANCIAL_STATEMENT_SECTOR_ID</we:customFunctionIds>
        <we:customFunctionIds>_xldudf_WI_SECTOR_FINANCIAL_STATEMENT_SECTOR_ID_SECTOR_LEVEL</we:customFunctionIds>
        <we:customFunctionIds>_xldudf_WI_SECTOR_FINANCIAL_STATEMENT_ITEMS</we:customFunctionIds>
        <we:customFunctionIds>_xldudf_WI_SECTOR_FINANCIAL_STATEMENT_ITEMS_COMPANYTYPE</we:customFunctionIds>
        <we:customFunctionIds>_xldudf_WI_SECTOR_FINANCIAL_STATEMENT_TYPE</we:customFunctionIds>
        <we:customFunctionIds>_xldudf_WI_SECTOR_FINANCIAL_RATIO</we:customFunctionIds>
        <we:customFunctionIds>_xldudf_WI_SECTOR_FINANCIAL_RATIO_SECTOR_LEVEL</we:customFunctionIds>
        <we:customFunctionIds>_xldudf_WI_SECTOR_FINANCIAL_RATIO_SECTOR_ID</we:customFunctionIds>
        <we:customFunctionIds>_xldudf_WI_SECTOR_FINANCIAL_RATIO_SECTOR_ID_SECTOR_LEVEL</we:customFunctionIds>
        <we:customFunctionIds>_xldudf_WI_SECTOR_FINANCIAL_RATIO_ITEMS</we:customFunctionIds>
        <we:customFunctionIds>_xldudf_WI_SECTOR_FINANCIAL_RATIO_ITEMS_COMPANYTYPE</we:customFunctionIds>
        <we:customFunctionIds>_xldudf_WI_SECTOR_FINANCIAL_RATIO_TYPE</we:customFunctionIds>
        <we:customFunctionIds>_xldudf_WI_MACRO_PMI</we:customFunctionIds>
        <we:customFunctionIds>_xldudf_WI_MACRO_IIP</we:customFunctionIds>
        <we:customFunctionIds>_xldudf_WI_MACRO_IIP_ITEMS</we:customFunctionIds>
        <we:customFunctionIds>_xldudf_WI_MACRO_INDUSTRIAL_PRODUCT</we:customFunctionIds>
        <we:customFunctionIds>_xldudf_WI_MACRO_INDUSTRIAL_PRODUCT_ITEMS</we:customFunctionIds>
        <we:customFunctionIds>_xldudf_WI_MACRO_INDUSTRIAL_PRODUCT_TYPE</we:customFunctionIds>
        <we:customFunctionIds>_xldudf_WI_MACRO_RETAIL_SALES</we:customFunctionIds>
        <we:customFunctionIds>_xldudf_WI_MACRO_RETAIL_SALES_ITEMS</we:customFunctionIds>
        <we:customFunctionIds>_xldudf_WI_MACRO_RETAIL_SALES_TYPE</we:customFunctionIds>
        <we:customFunctionIds>_xldudf_WI_MACRO_TRANSPORT_INDEX</we:customFunctionIds>
        <we:customFunctionIds>_xldudf_WI_MACRO_TRANSPORT_INDEX_ITEMS</we:customFunctionIds>
        <we:customFunctionIds>_xldudf_WI_MACRO_TRANSPORT_INDEX_TYPE</we:customFunctionIds>
        <we:customFunctionIds>_xldudf_WI_MACRO_INPUT_PRODUCER_PRICE</we:customFunctionIds>
        <we:customFunctionIds>_xldudf_WI_MACRO_INPUT_PRODUCER_PRICE_ITEMS</we:customFunctionIds>
        <we:customFunctionIds>_xldudf_WI_MACRO_INPUT_PRODUCER_PRICE_TYPE</we:customFunctionIds>
        <we:customFunctionIds>_xldudf_WI_MACRO_PPI</we:customFunctionIds>
        <we:customFunctionIds>_xldudf_WI_MACRO_PPI_ITEMS</we:customFunctionIds>
        <we:customFunctionIds>_xldudf_WI_MACRO_PPI_TYPE</we:customFunctionIds>
        <we:customFunctionIds>_xldudf_WI_MONEYMARKET_OMO</we:customFunctionIds>
        <we:customFunctionIds>_xldudf_WI_MONEYMARKET_OMO_ITEMS</we:customFunctionIds>
        <we:customFunctionIds>_xldudf_WI_MONEYMARKET_OMO_BILLS</we:customFunctionIds>
        <we:customFunctionIds>_xldudf_WI_MONEYMARKET_OMO_BILLS_ITEMS</we:customFunctionIds>
        <we:customFunctionIds>_xldudf_WI_MONEYMARKET_OMO_REVERSEREPO</we:customFunctionIds>
        <we:customFunctionIds>_xldudf_WI_MONEYMARKET_OMO_REVERSEREPO_ITEMS</we:customFunctionIds>
        <we:customFunctionIds>_xldudf_WI_MACRO_M2</we:customFunctionIds>
        <we:customFunctionIds>_xldudf_WI_MACRO_M2_TYPE</we:customFunctionIds>
        <we:customFunctionIds>_xldudf_WI_MACRO_DEPOSIT</we:customFunctionIds>
        <we:customFunctionIds>_xldudf_WI_MACRO_DEPOSIT_TYPE</we:customFunctionIds>
        <we:customFunctionIds>_xldudf_WI_MACRO_CREDIT</we:customFunctionIds>
        <we:customFunctionIds>_xldudf_WI_MACRO_CREDIT_TYPE</we:customFunctionIds>
        <we:customFunctionIds>_xldudf_WI_MONEYMARKET_INTERESTRATE_POLICY</we:customFunctionIds>
        <we:customFunctionIds>_xldudf_WI_MONEYMARKET_INTERESTRATE_POLICY_ITEMS</we:customFunctionIds>
        <we:customFunctionIds>_xldudf_WI_MONEYMARKET_INTERESTRATE_POLICY_CEILING</we:customFunctionIds>
        <we:customFunctionIds>_xldudf_WI_MONEYMARKET_INTERESTRATE_POLICY_CEILING_ITEMS</we:customFunctionIds>
        <we:customFunctionIds>_xldudf_WI_MONEYMARKET_INTERESTRATE_REQUIRED_RESERVE</we:customFunctionIds>
        <we:customFunctionIds>_xldudf_WI_MONEYMARKET_INTERESTRATE_REQUIRED_RESERVE_ITEMS</we:customFunctionIds>
        <we:customFunctionIds>_xldudf_WI_MONEYMARKET_INTERESTRATE_INTERBANK</we:customFunctionIds>
        <we:customFunctionIds>_xldudf_WI_MONEYMARKET_INTERESTRATE_INTERBANK_ITEMS</we:customFunctionIds>
        <we:customFunctionIds>_xldudf_WI_MONEYMARKET_INTERESTRATE_DEPOSIT</we:customFunctionIds>
        <we:customFunctionIds>_xldudf_WI_MONEYMARKET_INTERESTRATE_DEPOSIT_BANK</we:customFunctionIds>
        <we:customFunctionIds>_xldudf_WI_MONEYMARKET_INTERESTRATE_DEPOSIT_TERM</we:customFunctionIds>
        <we:customFunctionIds>_xldudf_WI_MONEYMARKET_INTERESTRATE_GROUP</we:customFunctionIds>
        <we:customFunctionIds>_xldudf_WI_MONEYMARKET_INTERESTRATE_GROUP_BANK_GROUP</we:customFunctionIds>
        <we:customFunctionIds>_xldudf_WI_MONEYMARKET_INTERESTRATE_GROUP_TERM</we:customFunctionIds>
        <we:customFunctionIds>_xldudf_WI_MACRO_CURRENCY_OTHER</we:customFunctionIds>
        <we:customFunctionIds>_xldudf_WI_MACRO_CURRENCY_OTHER_ITEMS</we:customFunctionIds>
        <we:customFunctionIds>_xldudf_WI_MACRO_CURRENCY_USDVND</we:customFunctionIds>
        <we:customFunctionIds>_xldudf_WI_MACRO_CURRENCY_USDVND_ITEMS</we:customFunctionIds>
        <we:customFunctionIds>_xldudf_WI_MACRO_GDP_EXPENDITURE</we:customFunctionIds>
        <we:customFunctionIds>_xldudf_WI_MACRO_GDP_EXPENDITURE_METHOD</we:customFunctionIds>
        <we:customFunctionIds>_xldudf_WI_MACRO_GDP_EXPENDITURE_ITEMS</we:customFunctionIds>
        <we:customFunctionIds>_xldudf_WI_MACRO_GDP_EXPENDITURE_TYPE</we:customFunctionIds>
        <we:customFunctionIds>_xldudf_WI_MACRO_GDP_SECTOR</we:customFunctionIds>
        <we:customFunctionIds>_xldudf_WI_MACRO_GDP_SECTOR_METHOD</we:customFunctionIds>
        <we:customFunctionIds>_xldudf_WI_MACRO_GDP_SECTOR_ITEMS</we:customFunctionIds>
        <we:customFunctionIds>_xldudf_WI_MACRO_GDP_SECTOR_TYPE</we:customFunctionIds>
        <we:customFunctionIds>_xldudf_WI_MACRO_CPI</we:customFunctionIds>
        <we:customFunctionIds>_xldudf_WI_MACRO_CPI_ITEMS</we:customFunctionIds>
        <we:customFunctionIds>_xldudf_WI_MACRO_CPI_TYPE</we:customFunctionIds>
        <we:customFunctionIds>_xldudf_WI_MACRO_CPI_WEIGHT</we:customFunctionIds>
        <we:customFunctionIds>_xldudf_WI_MACRO_CPI_WEIGHT_ITEMS</we:customFunctionIds>
        <we:customFunctionIds>_xldudf_WI_MACRO_BUSINESS_REGISTRATION</we:customFunctionIds>
        <we:customFunctionIds>_xldudf_WI_MACRO_BUSINESS_REGISTRATION_ITEMS</we:customFunctionIds>
        <we:customFunctionIds>_xldudf_WI_MACRO_BUSINESS_REGISTRATION_TYPE</we:customFunctionIds>
        <we:customFunctionIds>_xldudf_WI_MACRO_INVESTMENT_SOCIAL</we:customFunctionIds>
        <we:customFunctionIds>_xldudf_WI_MACRO_INVESTMENT_SOCIAL_ITEMS</we:customFunctionIds>
        <we:customFunctionIds>_xldudf_WI_MACRO_INVESTMENT_SOCIAL_TYPE</we:customFunctionIds>
        <we:customFunctionIds>_xldudf_WI_MACRO_INVESTMENT_GOVERNMENT</we:customFunctionIds>
        <we:customFunctionIds>_xldudf_WI_MACRO_INVESTMENT_GOVERNMENT_ITEMS</we:customFunctionIds>
        <we:customFunctionIds>_xldudf_WI_MACRO_INVESTMENT_GOVERNMENT_TYPE</we:customFunctionIds>
        <we:customFunctionIds>_xldudf_WI_MACRO_FDI</we:customFunctionIds>
        <we:customFunctionIds>_xldudf_WI_MACRO_FDI_ITEMS</we:customFunctionIds>
        <we:customFunctionIds>_xldudf_WI_MACRO_FDI_TYPE</we:customFunctionIds>
        <we:customFunctionIds>_xldudf_WI_MACRO_FDI_INDUSTRY</we:customFunctionIds>
        <we:customFunctionIds>_xldudf_WI_MACRO_FDI_INDUSTRY_ITEMS</we:customFunctionIds>
        <we:customFunctionIds>_xldudf_WI_MACRO_FDI_INDUSTRY_TYPE</we:customFunctionIds>
        <we:customFunctionIds>_xldudf_WI_MACRO_FDI_PROVINCE</we:customFunctionIds>
        <we:customFunctionIds>_xldudf_WI_MACRO_FDI_PROVINCE_ITEMS</we:customFunctionIds>
        <we:customFunctionIds>_xldudf_WI_MACRO_FDI_PROVINCE_TYPE</we:customFunctionIds>
        <we:customFunctionIds>_xldudf_WI_MACRO_FDI_COUNTRY</we:customFunctionIds>
        <we:customFunctionIds>_xldudf_WI_MACRO_FDI_COUNTRY_ITEMS</we:customFunctionIds>
        <we:customFunctionIds>_xldudf_WI_MACRO_FDI_COUNTRY_TYPE</we:customFunctionIds>
        <we:customFunctionIds>_xldudf_WI_MACRO_FDI_INDUSTRY_ACCUMULATION</we:customFunctionIds>
        <we:customFunctionIds>_xldudf_WI_MACRO_FDI_INDUSTRY_ACCUMULATION_ITEMS</we:customFunctionIds>
        <we:customFunctionIds>_xldudf_WI_MACRO_FDI_INDUSTRY_ACCUMULATION_TYPE</we:customFunctionIds>
        <we:customFunctionIds>_xldudf_WI_MACRO_FDI_PROVINCE_ACCUMULATION</we:customFunctionIds>
        <we:customFunctionIds>_xldudf_WI_MACRO_FDI_PROVINCE_ACCUMULATION_ITEMS</we:customFunctionIds>
        <we:customFunctionIds>_xldudf_WI_MACRO_FDI_PROVINCE_ACCUMULATION_TYPE</we:customFunctionIds>
        <we:customFunctionIds>_xldudf_WI_MACRO_FDI_COUNTRY_ACCUMULATION</we:customFunctionIds>
        <we:customFunctionIds>_xldudf_WI_MACRO_FDI_COUNTRY_ACCUMULATION_ITEMS</we:customFunctionIds>
        <we:customFunctionIds>_xldudf_WI_MACRO_FDI_COUNTRY_ACCUMULATION_TYPE</we:customFunctionIds>
        <we:customFunctionIds>_xldudf_WI_MACRO_EXPORT</we:customFunctionIds>
        <we:customFunctionIds>_xldudf_WI_MACRO_EXPORT_ITEMS</we:customFunctionIds>
        <we:customFunctionIds>_xldudf_WI_MACRO_EXPORT_TYPE</we:customFunctionIds>
        <we:customFunctionIds>_xldudf_WI_MACRO_EXPORT_PRICE</we:customFunctionIds>
        <we:customFunctionIds>_xldudf_WI_MACRO_EXPORT_PRICE_ITEMS</we:customFunctionIds>
        <we:customFunctionIds>_xldudf_WI_MACRO_EXPORT_PRICE_TYPE</we:customFunctionIds>
        <we:customFunctionIds>_xldudf_WI_MACRO_EXPORT_DETAIL</we:customFunctionIds>
        <we:customFunctionIds>_xldudf_WI_MACRO_EXPORT_DETAIL_ITEMS</we:customFunctionIds>
        <we:customFunctionIds>_xldudf_WI_MACRO_EXPORT_DETAIL_COUNTRY</we:customFunctionIds>
        <we:customFunctionIds>_xldudf_WI_MACRO_EXPORT_DETAIL_TYPE</we:customFunctionIds>
        <we:customFunctionIds>_xldudf_WI_MACRO_IMPORT</we:customFunctionIds>
        <we:customFunctionIds>_xldudf_WI_MACRO_IMPORT_ITEMS</we:customFunctionIds>
        <we:customFunctionIds>_xldudf_WI_MACRO_IMPORT_TYPE</we:customFunctionIds>
        <we:customFunctionIds>_xldudf_WI_MACRO_IMPORT_PRICE</we:customFunctionIds>
        <we:customFunctionIds>_xldudf_WI_MACRO_IMPORT_PRICE_ITEMS</we:customFunctionIds>
        <we:customFunctionIds>_xldudf_WI_MACRO_IMPORT_PRICE_TYPE</we:customFunctionIds>
        <we:customFunctionIds>_xldudf_WI_MACRO_IMPORT_DETAIL</we:customFunctionIds>
        <we:customFunctionIds>_xldudf_WI_MACRO_IMPORT_DETAIL_COUNTRY</we:customFunctionIds>
        <we:customFunctionIds>_xldudf_WI_MACRO_IMPORT_DETAIL_ITEMS</we:customFunctionIds>
        <we:customFunctionIds>_xldudf_WI_MACRO_IMPORT_DETAIL_TYPE</we:customFunctionIds>
        <we:customFunctionIds>_xldudf_WI_MACRO_VISITOR_COUNTRY</we:customFunctionIds>
        <we:customFunctionIds>_xldudf_WI_MACRO_VISITOR_COUNTRY_ITEMS</we:customFunctionIds>
        <we:customFunctionIds>_xldudf_WI_MACRO_VISITOR_COUNTRY_TYPE</we:customFunctionIds>
        <we:customFunctionIds>_xldudf_WI_MACRO_VISITOR_VEHICLE</we:customFunctionIds>
        <we:customFunctionIds>_xldudf_WI_MACRO_VISITOR_VEHICLE_ITEMS</we:customFunctionIds>
        <we:customFunctionIds>_xldudf_WI_MACRO_VISITOR_VEHICLE_TYPE</we:customFunctionIds>
        <we:customFunctionIds>_xldudf_WI_MACRO_ROTATION_PEOPLE</we:customFunctionIds>
        <we:customFunctionIds>_xldudf_WI_MACRO_ROTATION_PEOPLE_ITEMS</we:customFunctionIds>
        <we:customFunctionIds>_xldudf_WI_MACRO_ROTATION_PEOPLE_TYPE</we:customFunctionIds>
        <we:customFunctionIds>_xldudf_WI_MACRO_TRANSPORT_PEOPLE</we:customFunctionIds>
        <we:customFunctionIds>_xldudf_WI_MACRO_TRANSPORT_PEOPLE_ITEMS</we:customFunctionIds>
        <we:customFunctionIds>_xldudf_WI_MACRO_TRANSPORT_PEOPLE_TYPE</we:customFunctionIds>
        <we:customFunctionIds>_xldudf_WI_MACRO_ROTATION_PRODUCT</we:customFunctionIds>
        <we:customFunctionIds>_xldudf_WI_MACRO_ROTATION_PRODUCT_ITEMS</we:customFunctionIds>
        <we:customFunctionIds>_xldudf_WI_MACRO_ROTATION_PRODUCT_TYPE</we:customFunctionIds>
        <we:customFunctionIds>_xldudf_WI_MACRO_TRANSPORT_PRODUCT</we:customFunctionIds>
        <we:customFunctionIds>_xldudf_WI_MACRO_TRANSPORT_PRODUCT_ITEMS</we:customFunctionIds>
        <we:customFunctionIds>_xldudf_WI_MACRO_TRANSPORT_PRODUCT_TYPE</we:customFunctionIds>
        <we:customFunctionIds>_xldudf_WI_MACRO_FOREIGN_RESERVE</we:customFunctionIds>
        <we:customFunctionIds>_xldudf_WI_MACRO_FOREIGN_RESERVE_TYPE</we:customFunctionIds>
        <we:customFunctionIds>_xldudf_WI_MACRO_BOP</we:customFunctionIds>
        <we:customFunctionIds>_xldudf_WI_MACRO_BOP_ITEMS</we:customFunctionIds>
        <we:customFunctionIds>_xldudf_WI_MACRO_BOP_TYPE</we:customFunctionIds>
        <we:customFunctionIds>_xldudf_WI_MACRO_POPULATION</we:customFunctionIds>
        <we:customFunctionIds>_xldudf_WI_MACRO_POPULATION_PROVINCE</we:customFunctionIds>
        <we:customFunctionIds>_xldudf_WI_MACRO_POPULATION_ITEMS</we:customFunctionIds>
        <we:customFunctionIds>_xldudf_WI_MACRO_POPULATION_TYPE</we:customFunctionIds>
        <we:customFunctionIds>_xldudf_WI_MACRO_FISCAL_REVENUE</we:customFunctionIds>
        <we:customFunctionIds>_xldudf_WI_MACRO_FISCAL_REVENUE_ITEMS</we:customFunctionIds>
        <we:customFunctionIds>_xldudf_WI_MACRO_FISCAL_REVENUE_TYPE</we:customFunctionIds>
        <we:customFunctionIds>_xldudf_WI_MACRO_FISCAL_SPENDING</we:customFunctionIds>
        <we:customFunctionIds>_xldudf_WI_MACRO_FISCAL_SPENDING_ITEMS</we:customFunctionIds>
        <we:customFunctionIds>_xldudf_WI_MACRO_FISCAL_SPENDING_TYPE</we:customFunctionIds>
        <we:customFunctionIds>_xldudf_WI_MACRO_DEBT_GOVERNMENT</we:customFunctionIds>
        <we:customFunctionIds>_xldudf_WI_MACRO_DEBT_GOVERNMENT_ITEMS</we:customFunctionIds>
        <we:customFunctionIds>_xldudf_WI_MACRO_DEBT_GOVERNMENT_TYPE</we:customFunctionIds>
        <we:customFunctionIds>_xldudf_WI_MACRO_DEBT_GUARANTEE_GOVERNMENT</we:customFunctionIds>
        <we:customFunctionIds>_xldudf_WI_MACRO_DEBT_GUARANTEE_GOVERNMENT_ITEMS</we:customFunctionIds>
        <we:customFunctionIds>_xldudf_WI_MACRO_DEBT_GUARANTEE_GOVERNMENT_TYPE</we:customFunctionIds>
        <we:customFunctionIds>_xldudf_WI_MACRO_DEBT_LOCAL_GOVERNMENT</we:customFunctionIds>
        <we:customFunctionIds>_xldudf_WI_MACRO_DEBT_LOCAL_GOVERNMENT_ITEMS</we:customFunctionIds>
        <we:customFunctionIds>_xldudf_WI_MACRO_DEBT_LOCAL_GOVERNMENT_TYPE</we:customFunctionIds>
        <we:customFunctionIds>_xldudf_WI_MACRO_DEBT_FOREIGN</we:customFunctionIds>
        <we:customFunctionIds>_xldudf_WI_MACRO_DEBT_FOREIGN_ITEMS</we:customFunctionIds>
        <we:customFunctionIds>_xldudf_WI_MACRO_DEBT_FOREIGN_TYPE</we:customFunctionIds>
        <we:customFunctionIds>_xldudf_WI_MACRO_LABOR_UNEMPLOYMENT_RATE</we:customFunctionIds>
        <we:customFunctionIds>_xldudf_WI_MACRO_LABOR_UNEMPLOYMENT_RATE_ITEMS</we:customFunctionIds>
        <we:customFunctionIds>_xldudf_WI_MACRO_LABOR_FROM15</we:customFunctionIds>
        <we:customFunctionIds>_xldudf_WI_MACRO_LABOR_FROM15_TYPE</we:customFunctionIds>
        <we:customFunctionIds>_xldudf_WI_MACRO_LABOR_EMPLOYMENT</we:customFunctionIds>
        <we:customFunctionIds>_xldudf_WI_MACRO_LABOR_EMPLOYMENT_TYPE</we:customFunctionIds>
        <we:customFunctionIds>_xldudf_WI_MACRO_LABOR_UNEMPLOYMENT</we:customFunctionIds>
        <we:customFunctionIds>_xldudf_WI_MACRO_LABOR_UNEMPLOYMENT_TYPE</we:customFunctionIds>
        <we:customFunctionIds>_xldudf_WI_MACRO_LABOR_AVERAGESALARY</we:customFunctionIds>
        <we:customFunctionIds>_xldudf_WI_MACRO_LABOR_AVERAGESALARY_TYPE</we:customFunctionIds>
        <we:customFunctionIds>_xldudf_WI_STOCKMARKET_INDEX_DOMESTIC</we:customFunctionIds>
        <we:customFunctionIds>_xldudf_WI_STOCKMARKET_INDEX_DOMESTIC_INDEX</we:customFunctionIds>
        <we:customFunctionIds>_xldudf_WI_STOCKMARKET_INDEX_DOMESTIC_ITEMS</we:customFunctionIds>
        <we:customFunctionIds>_xldudf_WI_STOCKMARKET_INDEX_DOMESTIC_REALTIME</we:customFunctionIds>
        <we:customFunctionIds>_xldudf_WI_STOCKMARKET_INDEX_DOMESTIC_REALTIME_INDEX</we:customFunctionIds>
        <we:customFunctionIds>_xldudf_WI_STOCKMARKET_INDEX_DOMESTIC_REALTIME_ITEMS</we:customFunctionIds>
        <we:customFunctionIds>_xldudf_WI_PROVINCE_LIST</we:customFunctionIds>
        <we:customFunctionIds>_xldudf_WI_PROVINCE_RETAIL_SALES</we:customFunctionIds>
        <we:customFunctionIds>_xldudf_WI_PROVINCE_RETAIL_SALES_PROVINCE</we:customFunctionIds>
        <we:customFunctionIds>_xldudf_WI_PROVINCE_RETAIL_SALES_ITEMS</we:customFunctionIds>
        <we:customFunctionIds>_xldudf_WI_PROVINCE_RETAIL_SALES_TYPE</we:customFunctionIds>
        <we:customFunctionIds>_xldudf_WI_PROVINCE_SPENDING</we:customFunctionIds>
        <we:customFunctionIds>_xldudf_WI_PROVINCE_SPENDING_PROVINCE</we:customFunctionIds>
        <we:customFunctionIds>_xldudf_WI_PROVINCE_SPENDING_ITEMS</we:customFunctionIds>
        <we:customFunctionIds>_xldudf_WI_PROVINCE_SPENDING_TYPE</we:customFunctionIds>
        <we:customFunctionIds>_xldudf_WI_PROVINCE_STATE_REVENUE</we:customFunctionIds>
        <we:customFunctionIds>_xldudf_WI_PROVINCE_STATE_REVENUE_PROVINCE</we:customFunctionIds>
        <we:customFunctionIds>_xldudf_WI_PROVINCE_STATE_REVENUE_ITEMS</we:customFunctionIds>
        <we:customFunctionIds>_xldudf_WI_PROVINCE_STATE_REVENUE_TYPE</we:customFunctionIds>
        <we:customFunctionIds>_xldudf_WI_PROVINCE_CPI</we:customFunctionIds>
        <we:customFunctionIds>_xldudf_WI_PROVINCE_CPI_PROVINCE</we:customFunctionIds>
        <we:customFunctionIds>_xldudf_WI_PROVINCE_CPI_ITEMS</we:customFunctionIds>
        <we:customFunctionIds>_xldudf_WI_PROVINCE_CPI_TYPE</we:customFunctionIds>
        <we:customFunctionIds>_xldudf_WI_PROVINCE_REVENUE_SERVICE</we:customFunctionIds>
        <we:customFunctionIds>_xldudf_WI_PROVINCE_REVENUE_SERVICE_PROVINCE</we:customFunctionIds>
        <we:customFunctionIds>_xldudf_WI_PROVINCE_REVENUE_SERVICE_ITEMS</we:customFunctionIds>
        <we:customFunctionIds>_xldudf_WI_PROVINCE_REVENUE_SERVICE_TYPE</we:customFunctionIds>
        <we:customFunctionIds>_xldudf_WI_PROVINCE_REVENUE_TRANSPORT</we:customFunctionIds>
        <we:customFunctionIds>_xldudf_WI_PROVINCE_REVENUE_TRANSPORT_PROVINCE</we:customFunctionIds>
        <we:customFunctionIds>_xldudf_WI_PROVINCE_REVENUE_TRANSPORT_ITEMS</we:customFunctionIds>
        <we:customFunctionIds>_xldudf_WI_PROVINCE_REVENUE_TRANSPORT_TYPE</we:customFunctionIds>
        <we:customFunctionIds>_xldudf_WI_PROVINCE_VISITOR</we:customFunctionIds>
        <we:customFunctionIds>_xldudf_WI_PROVINCE_VISITOR_PROVINCE</we:customFunctionIds>
        <we:customFunctionIds>_xldudf_WI_PROVINCE_VISITOR_ITEMS</we:customFunctionIds>
        <we:customFunctionIds>_xldudf_WI_PROVINCE_VISITOR_TYPE</we:customFunctionIds>
        <we:customFunctionIds>_xldudf_WI_PROVINCE_CAPITAL_CREDIT</we:customFunctionIds>
        <we:customFunctionIds>_xldudf_WI_PROVINCE_CAPITAL_CREDIT_PROVINCE</we:customFunctionIds>
        <we:customFunctionIds>_xldudf_WI_PROVINCE_CAPITAL_CREDIT_ITEMS</we:customFunctionIds>
        <we:customFunctionIds>_xldudf_WI_PROVINCE_CAPITAL_CREDIT_TYPE</we:customFunctionIds>
        <we:customFunctionIds>_xldudf_WI_PROVINCE_IIP</we:customFunctionIds>
        <we:customFunctionIds>_xldudf_WI_PROVINCE_IIP_PROVINCE</we:customFunctionIds>
        <we:customFunctionIds>_xldudf_WI_PROVINCE_IIP_ITEMS</we:customFunctionIds>
        <we:customFunctionIds>_xldudf_WI_PROVINCE_IIP_TYPE</we:customFunctionIds>
        <we:customFunctionIds>_xldudf_WI_PROVINCE_TRANSPORT_PRODUCT</we:customFunctionIds>
        <we:customFunctionIds>_xldudf_WI_PROVINCE_TRANSPORT_PRODUCT_PROVINCE</we:customFunctionIds>
        <we:customFunctionIds>_xldudf_WI_PROVINCE_TRANSPORT_PRODUCT_ITEMS</we:customFunctionIds>
        <we:customFunctionIds>_xldudf_WI_PROVINCE_TRANSPORT_PRODUCT_TYPE</we:customFunctionIds>
        <we:customFunctionIds>_xldudf_WI_PROVINCE_TRANSPORT_PEOPLE</we:customFunctionIds>
        <we:customFunctionIds>_xldudf_WI_PROVINCE_TRANSPORT_PEOPLE_PROVINCE</we:customFunctionIds>
        <we:customFunctionIds>_xldudf_WI_PROVINCE_TRANSPORT_PEOPLE_ITEMS</we:customFunctionIds>
        <we:customFunctionIds>_xldudf_WI_PROVINCE_TRANSPORT_PEOPLE_TYPE</we:customFunctionIds>
        <we:customFunctionIds>_xldudf_WI_PROVINCE_INVESTMENT_CAPITAL</we:customFunctionIds>
        <we:customFunctionIds>_xldudf_WI_PROVINCE_INVESTMENT_CAPITAL_PROVINCE</we:customFunctionIds>
        <we:customFunctionIds>_xldudf_WI_PROVINCE_INVESTMENT_CAPITAL_ITEMS</we:customFunctionIds>
        <we:customFunctionIds>_xldudf_WI_PROVINCE_INVESTMENT_CAPITAL_TYPE</we:customFunctionIds>
        <we:customFunctionIds>_xldudf_WI_PROVINCE_COMMERCE</we:customFunctionIds>
        <we:customFunctionIds>_xldudf_WI_PROVINCE_COMMERCE_PROVINCE</we:customFunctionIds>
        <we:customFunctionIds>_xldudf_WI_PROVINCE_COMMERCE_ITEMS</we:customFunctionIds>
        <we:customFunctionIds>_xldudf_WI_PROVINCE_COMMERCE_TYPE</we:customFunctionIds>
        <we:customFunctionIds>_xldudf_WI_COMMODITYMARKET_GLOBAL</we:customFunctionIds>
        <we:customFunctionIds>_xldudf_WI_COMMODITYMARKET_GLOBAL_ITEMS</we:customFunctionIds>
        <we:customFunctionIds>_xldudf_WI_COMMODITYMARKET_VIETNAM_DAILY</we:customFunctionIds>
        <we:customFunctionIds>_xldudf_WI_COMMODITYMARKET_VIETNAM_DAILY_ITEMS</we:customFunctionIds>
        <we:customFunctionIds>_xldudf_WI_COMMODITYMARKET_VIETNAM_MONTHLY</we:customFunctionIds>
        <we:customFunctionIds>_xldudf_WI_COMMODITYMARKET_VIETNAM_MONTHLY_ITEMS</we:customFunctionIds>
        <we:customFunctionIds>_xldudf_WI_BONDMARKET_GLOBAL</we:customFunctionIds>
        <we:customFunctionIds>_xldudf_WI_BONDMARKET_GLOBAL_COUNTRY</we:customFunctionIds>
        <we:customFunctionIds>_xldudf_WI_BONDMARKET_GLOBAL_MATURITY</we:customFunctionIds>
        <we:customFunctionIds>_xldudf_WI_BONDMARKET_GBOND_PRIMARY</we:customFunctionIds>
        <we:customFunctionIds>_xldudf_WI_BONDMARKET_GBOND_PRIMARY_TERM</we:customFunctionIds>
        <we:customFunctionIds>_xldudf_WI_BONDMARKET_GBOND_PRIMARY_BOND_TYPE</we:customFunctionIds>
        <we:customFunctionIds>_xldudf_WI_BONDMARKET_GBOND_PRIMARY_ORGANIZATION</we:customFunctionIds>
        <we:customFunctionIds>_xldudf_WI_BONDMARKET_GBOND_SECONDARY</we:customFunctionIds>
        <we:customFunctionIds>_xldudf_WI_BONDMARKET_GBOND_SECONDARY_METHOD</we:customFunctionIds>
        <we:customFunctionIds>_xldudf_WI_BONDMARKET_GBOND_SECONDARY_BOND_TYPE</we:customFunctionIds>
        <we:customFunctionIds>_xldudf_WI_BONDMARKET_GBOND_SECONDARY_INVESTOR</we:customFunctionIds>
        <we:customFunctionIds>_xldudf_WI_BONDMARKET_GBOND_SECONDARY_INVESTOR_INVESTOR_TYPE</we:customFunctionIds>
        <we:customFunctionIds>_xldudf_WI_BONDMARKET_GBOND_SECONDARY_INVESTOR_TIME_TO_MATURITY</we:customFunctionIds>
        <we:customFunctionIds>_xldudf_WI_BONDMARKET_GBOND_SECONDARY_INVESTOR_BOND_TYPE</we:customFunctionIds>
        <we:customFunctionIds>_xldudf_WI_BONDMARKET_CBOND_ISSUANCE_INFORMATION</we:customFunctionIds>
        <we:customFunctionIds>_xldudf_WI_BONDMARKET_CBOND_ISSUANCE_INFORMATION_BOND_TICKER</we:customFunctionIds>
        <we:customFunctionIds>_xldudf_WI_BONDMARKET_CBOND_ISSUANCE_INFORMATION_TICKER</we:customFunctionIds>
        <we:customFunctionIds>_xldudf_WI_BONDMARKET_CBOND_ISSUANCE_INFORMATION_ITEMS</we:customFunctionIds>
        <we:customFunctionIds>_xldudf_WI_BONDMARKET_CBOND_ISSUANCE_INFORMATION_BOND_STATUS</we:customFunctionIds>
        <we:customFunctionIds>_xldudf_WI_BONDMARKET_CBOND_ISSUANCE_INFORMATION_BOND_YIELD_TYPE</we:customFunctionIds>
        <we:customFunctionIds>_xldudf_WI_BONDMARKET_CBOND_ISSUANCE_INFORMATION_IS_COLLATERAL</we:customFunctionIds>
        <we:customFunctionIds>_xldudf_WI_BONDMARKET_CBOND_ISSUER_INFORMATION</we:customFunctionIds>
        <we:customFunctionIds>_xldudf_WI_BONDMARKET_CBOND_ISSUER_INFORMATION_TICKER</we:customFunctionIds>
        <we:customFunctionIds>_xldudf_WI_BONDMARKET_CBOND_ISSUER_INFORMATION_EXCHANGE</we:customFunctionIds>
        <we:customFunctionIds>_xldudf_WI_BONDMARKET_CBOND_ISSUER_INFORMATION_SECTOR_LEVEL</we:customFunctionIds>
        <we:customFunctionIds>_xldudf_WI_BONDMARKET_CBOND_ISSUER_INFORMATION_SECTOR_ID</we:customFunctionIds>
        <we:customFunctionIds>_xldudf_WI_BONDMARKET_CBOND_ISSUER_INFORMATION_SECTOR_ID_SECTOR_LEVEL</we:customFunctionIds>
        <we:customFunctionIds>_xldudf_WI_BONDMARKET_CBOND_AGREEMENT</we:customFunctionIds>
        <we:customFunctionIds>_xldudf_WI_BONDMARKET_CBOND_AGREEMENT_BOND_TICKER</we:customFunctionIds>
        <we:customFunctionIds>_xldudf_WI_BONDMARKET_CBOND_AGREEMENT_ITEMS</we:customFunctionIds>
        <we:customFunctionIds>_xldudf_WI_BONDMARKET_CBOND_AGREEMENT_ISSUANCE_PURPOSE</we:customFunctionIds>
        <we:customFunctionIds>_xldudf_WI_BONDMARKET_CBOND_AGREEMENT_ISSUANCE_METHOD</we:customFunctionIds>
        <we:customFunctionIds>_xldudf_WI_BONDMARKET_CBOND_AGREEMENT_IS_EARLY_REDEMPTION</we:customFunctionIds>
        <we:customFunctionIds>_xldudf_WI_BONDMARKET_CBOND_REDEEMABLE_BOND</we:customFunctionIds>
        <we:customFunctionIds>_xldudf_WI_BONDMARKET_CBOND_REDEEMABLE_BOND_BOND_TICKER</we:customFunctionIds>
        <we:customFunctionIds>_xldudf_WI_BONDMARKET_CBOND_REDEEMABLE_BOND_TICKER</we:customFunctionIds>
        <we:customFunctionIds>_xldudf_WI_BONDMARKET_CBOND_REDEEMABLE_BOND_ITEMS</we:customFunctionIds>
        <we:customFunctionIds>_xldudf_WI_BONDMARKET_CBOND_REDEEMABLE_BOND_IS_VALID</we:customFunctionIds>
        <we:customFunctionIds>_xldudf_WI_BONDMARKET_CBOND_PAYMENT</we:customFunctionIds>
        <we:customFunctionIds>_xldudf_WI_BONDMARKET_CBOND_PAYMENT_BOND_TICKER</we:customFunctionIds>
        <we:customFunctionIds>_xldudf_WI_BONDMARKET_CBOND_PAYMENT_TICKER</we:customFunctionIds>
        <we:customFunctionIds>_xldudf_WI_BONDMARKET_CBOND_PAYMENT_ITEMS</we:customFunctionIds>
        <we:customFunctionIds>_xldudf_WI_BONDMARKET_CBOND_PAYMENT_IS_ON_TIME</we:customFunctionIds>
        <we:customFunctionIds>_xldudf_WI_BONDMARKET_CBOND_EVENT</we:customFunctionIds>
        <we:customFunctionIds>_xldudf_WI_BONDMARKET_CBOND_EVENT_BOND_TICKER</we:customFunctionIds>
        <we:customFunctionIds>_xldudf_WI_BONDMARKET_CBOND_EVENT_TICKER</we:customFunctionIds>
        <we:customFunctionIds>_xldudf_WI_BONDMARKET_CBOND_EVENT_NEWS_TYPE</we:customFunctionIds>
        <we:customFunctionIds>_xldudf_WI_SORT</we:customFunctionIds>
        <we:customFunctionIds>_xldudf_WI_JOIN</we:customFunctionIds>
        <we:customFunctionIds>_xldudf_WI_FILL_BLANK</we:customFunctionIds>
        <we:customFunctionIds>_xldudf_WI_COMPANY_FINANCIAL_RATIO_GENERAL</we:customFunctionIds>
        <we:customFunctionIds>_xldudf_WI_COMPANY_FINANCIAL_RATIO_GENERAL_ITEMS</we:customFunctionIds>
        <we:customFunctionIds>_xldudf_WI_COMPANY_FINANCIAL_RATIO_GENERAL_TICKER</we:customFunctionIds>
        <we:customFunctionIds>_xldudf_WI_COMPANY_FINANCIAL_RATIO_GENERAL_TICKER_COMPANYTYPE</we:customFunctionIds>
        <we:customFunctionIds>_xldudf_WI_COMPANY_FINANCIAL_RATIO_GENERAL_TICKER_EXCHANGE</we:customFunctionIds>
        <we:customFunctionIds>_xldudf_WI_COMPANY_FINANCIAL_RATIO_GENERAL_TICKER_SECTOR_LEVEL</we:customFunctionIds>
        <we:customFunctionIds>_xldudf_WI_COMPANY_FINANCIAL_RATIO_GENERAL_TICKER_SECTOR_ID</we:customFunctionIds>
        <we:customFunctionIds>_xldudf_WI_COMPANY_FINANCIAL_RATIO_GENERAL_TICKER_SECTOR_ID_SECTOR_LEVEL</we:customFunctionIds>
        <we:customFunctionIds>_xldudf_WI_COMPANY_FINANCIAL_RATIO_GENERAL_TYPE</we:customFunctionIds>
        <we:customFunctionIds>_xldudf_WI_SECTOR_FINANCIAL_RATIO_GENERAL</we:customFunctionIds>
        <we:customFunctionIds>_xldudf_WI_SECTOR_FINANCIAL_RATIO_GENERAL_SECTOR_LEVEL</we:customFunctionIds>
        <we:customFunctionIds>_xldudf_WI_SECTOR_FINANCIAL_RATIO_GENERAL_SECTOR_ID</we:customFunctionIds>
        <we:customFunctionIds>_xldudf_WI_SECTOR_FINANCIAL_RATIO_GENERAL_SECTOR_ID_SECTOR_LEVEL</we:customFunctionIds>
        <we:customFunctionIds>_xldudf_WI_SECTOR_FINANCIAL_RATIO_GENERAL_ITEMS</we:customFunctionIds>
        <we:customFunctionIds>_xldudf_WI_SECTOR_FINANCIAL_RATIO_GENERAL_TYPE</we:customFunctionIds>
        <we:customFunctionIds>_xldudf_WI_SECTOR_SECURITIES_ACCOUNTS</we:customFunctionIds>
        <we:customFunctionIds>_xldudf_WI_SECTOR_SECURITIES_ACCOUNTS_ITEMS</we:customFunctionIds>
        <we:customFunctionIds>_xldudf_WI_SECTOR_SECURITIES_ACCOUNTS_TYPE</we:customFunctionIds>
        <we:customFunctionIds>_xldudf_WI_REAL_ESTATE_COMMERCIAL_HOUSING</we:customFunctionIds>
        <we:customFunctionIds>_xldudf_WI_REAL_ESTATE_COMMERCIAL_HOUSING_ITEMS</we:customFunctionIds>
        <we:customFunctionIds>_xldudf_WI_REAL_ESTATE_COMMERCIAL_HOUSING_TYPE</we:customFunctionIds>
        <we:customFunctionIds>_xldudf_WI_REAL_ESTATE_COMMERCIAL_HOUSING_PROJECT</we:customFunctionIds>
        <we:customFunctionIds>_xldudf_WI_REAL_ESTATE_COMMERCIAL_HOUSING_PROJECT_ITEMS</we:customFunctionIds>
        <we:customFunctionIds>_xldudf_WI_REAL_ESTATE_COMMERCIAL_HOUSING_PROJECT_TYPE</we:customFunctionIds>
        <we:customFunctionIds>_xldudf_WI_REAL_ESTATE_SOCIAL_HOUSING</we:customFunctionIds>
        <we:customFunctionIds>_xldudf_WI_REAL_ESTATE_SOCIAL_HOUSING_ITEMS</we:customFunctionIds>
        <we:customFunctionIds>_xldudf_WI_REAL_ESTATE_SOCIAL_HOUSING_TYPE</we:customFunctionIds>
        <we:customFunctionIds>_xldudf_WI_REAL_ESTATE_SOCIAL_HOUSING_PROJECT</we:customFunctionIds>
        <we:customFunctionIds>_xldudf_WI_REAL_ESTATE_SOCIAL_HOUSING_PROJECT_ITEMS</we:customFunctionIds>
        <we:customFunctionIds>_xldudf_WI_REAL_ESTATE_SOCIAL_HOUSING_PROJECT_TYPE</we:customFunctionIds>
        <we:customFunctionIds>_xldudf_WI_REAL_ESTATE_MARKET_LIQUIDITY</we:customFunctionIds>
        <we:customFunctionIds>_xldudf_WI_REAL_ESTATE_MARKET_LIQUIDITY_ITEMS</we:customFunctionIds>
        <we:customFunctionIds>_xldudf_WI_REAL_ESTATE_MARKET_LIQUIDITY_TYPE</we:customFunctionIds>
        <we:customFunctionIds>_xldudf_WI_REAL_ESTATE_RESORT</we:customFunctionIds>
        <we:customFunctionIds>_xldudf_WI_REAL_ESTATE_RESORT_ITEMS</we:customFunctionIds>
        <we:customFunctionIds>_xldudf_WI_REAL_ESTATE_RESORT_TYPE</we:customFunctionIds>
        <we:customFunctionIds>_xldudf_WI_COMPANY_BANK_INTEREST_RATE_RISK</we:customFunctionIds>
        <we:customFunctionIds>_xldudf_WI_COMPANY_BANK_INTEREST_RATE_RISK_TICKER</we:customFunctionIds>
        <we:customFunctionIds>_xldudf_WI_COMPANY_BANK_INTEREST_RATE_RISK_TICKER_EXCHANGE</we:customFunctionIds>
        <we:customFunctionIds>_xldudf_WI_COMPANY_BANK_INTEREST_RATE_RISK_ATTRIBUTE</we:customFunctionIds>
        <we:customFunctionIds>_xldudf_WI_COMPANY_BANK_INTEREST_RATE_RISK_ITEMS</we:customFunctionIds>
        <we:customFunctionIds>_xldudf_WI_COMPANY_BANK_INTEREST_RATE_RISK_TYPE</we:customFunctionIds>
        <we:customFunctionIds>_xldudf_WI_COMPANY_BANK_LIQUIDITY_RISK</we:customFunctionIds>
        <we:customFunctionIds>_xldudf_WI_COMPANY_BANK_LIQUIDITY_RISK_TICKER</we:customFunctionIds>
        <we:customFunctionIds>_xldudf_WI_COMPANY_BANK_LIQUIDITY_RISK_TICKER_EXCHANGE</we:customFunctionIds>
        <we:customFunctionIds>_xldudf_WI_COMPANY_BANK_LIQUIDITY_RISK_ATTRIBUTE</we:customFunctionIds>
        <we:customFunctionIds>_xldudf_WI_COMPANY_BANK_LIQUIDITY_RISK_ITEMS</we:customFunctionIds>
        <we:customFunctionIds>_xldudf_WI_COMPANY_BANK_LIQUIDITY_RISK_TYPE</we:customFunctionIds>
        <we:customFunctionIds>_xldudf_WI_COMPANY_BANK_CAR</we:customFunctionIds>
        <we:customFunctionIds>_xldudf_WI_COMPANY_BANK_CAR_TICKER</we:customFunctionIds>
        <we:customFunctionIds>_xldudf_WI_COMPANY_BANK_CAR_TICKER_EXCHANGE</we:customFunctionIds>
        <we:customFunctionIds>_xldudf_WI_COMPANY_BANK_CAR_ITEMS</we:customFunctionIds>
        <we:customFunctionIds>_xldudf_WI_COMPANY_BANK_CAR_TYPE</we:customFunctionIds>
        <we:customFunctionIds>_xldudf_WI_COMPANY_BANK_CREDIT_RISK_ASSETS_BY_ASSET_TYPE</we:customFunctionIds>
        <we:customFunctionIds>_xldudf_WI_COMPANY_BANK_CREDIT_RISK_ASSETS_BY_ASSET_TYPE_TICKER</we:customFunctionIds>
        <we:customFunctionIds>_xldudf_WI_COMPANY_BANK_CREDIT_RISK_ASSETS_BY_ASSET_TYPE_TICKER_EXCHANGE</we:customFunctionIds>
        <we:customFunctionIds>_xldudf_WI_COMPANY_BANK_CREDIT_RISK_ASSETS_BY_ASSET_TYPE_ITEMS</we:customFunctionIds>
        <we:customFunctionIds>_xldudf_WI_COMPANY_BANK_CREDIT_RISK_ASSETS_BY_ASSET_TYPE_TYPE</we:customFunctionIds>
        <we:customFunctionIds>_xldudf_WI_COMPANY_BANK_CREDIT_RISK_ASSETS_BY_ASSET_RATING</we:customFunctionIds>
        <we:customFunctionIds>_xldudf_WI_COMPANY_BANK_CREDIT_RISK_ASSETS_BY_ASSET_RATING_TICKER</we:customFunctionIds>
        <we:customFunctionIds>_xldudf_WI_COMPANY_BANK_CREDIT_RISK_ASSETS_BY_ASSET_RATING_TICKER_EXCHANGE</we:customFunctionIds>
        <we:customFunctionIds>_xldudf_WI_COMPANY_BANK_CREDIT_RISK_ASSETS_BY_ASSET_RATING_ITEMS</we:customFunctionIds>
        <we:customFunctionIds>_xldudf_WI_COMPANY_BANK_CREDIT_RISK_ASSETS_BY_ASSET_RATING_TYPE</we:customFunctionIds>
        <we:customFunctionIds>_xldudf_WI_ELECTRICITY_GENERATION</we:customFunctionIds>
        <we:customFunctionIds>_xldudf_WI_ELECTRICITY_GENERATION_ITEMS</we:customFunctionIds>
        <we:customFunctionIds>_xldudf_WI_ELECTRICITY_GENERATION_TYPE</we:customFunctionIds>
        <we:customFunctionIds>_xldudf_WI_ELECTRICITY_MARKET</we:customFunctionIds>
        <we:customFunctionIds>_xldudf_WI_ELECTRICITY_MARKET_ITEMS</we:customFunctionIds>
        <we:customFunctionIds>_xldudf_WI_ELECTRICITY_MARKET_TYPE</we:customFunctionIds>
        <we:customFunctionIds>_xldudf_WI_MACRO_TRANSPORT_SEAPORT</we:customFunctionIds>
        <we:customFunctionIds>_xldudf_WI_MACRO_TRANSPORT_SEAPORT_ITEMS</we:customFunctionIds>
        <we:customFunctionIds>_xldudf_WI_MACRO_TRANSPORT_SEAPORT_TYPE</we:customFunctionIds>
        <we:customFunctionIds>_xldudf_WI_MACRO_TRANSPORT_SEAPORT_BY_COMMODITY</we:customFunctionIds>
        <we:customFunctionIds>_xldudf_WI_MACRO_TRANSPORT_SEAPORT_BY_COMMODITY_ITEMS</we:customFunctionIds>
        <we:customFunctionIds>_xldudf_WI_MACRO_TRANSPORT_SEAPORT_BY_COMMODITY_TYPE</we:customFunctionIds>
        <we:customFunctionIds>_xldudf_WI_MACRO_PAYMENT_DOMESTIC_TRANSACTION</we:customFunctionIds>
        <we:customFunctionIds>_xldudf_WI_MACRO_PAYMENT_DOMESTIC_TRANSACTION_ITEMS</we:customFunctionIds>
        <we:customFunctionIds>_xldudf_WI_MACRO_PAYMENT_DOMESTIC_TRANSACTION_TYPE</we:customFunctionIds>
        <we:customFunctionIds>_xldudf_WI_MACRO_PAYMENT_DOMESTIC_TRANSACTION_VALUE</we:customFunctionIds>
        <we:customFunctionIds>_xldudf_WI_MACRO_PAYMENT_DOMESTIC_TRANSACTION_VALUE_ITEMS</we:customFunctionIds>
        <we:customFunctionIds>_xldudf_WI_MACRO_PAYMENT_DOMESTIC_TRANSACTION_VALUE_TYPE</we:customFunctionIds>
        <we:customFunctionIds>_xldudf_WI_MACRO_PAYMENT_NATIONAL_SYSTEM</we:customFunctionIds>
        <we:customFunctionIds>_xldudf_WI_MACRO_PAYMENT_NATIONAL_SYSTEM_ITEMS</we:customFunctionIds>
        <we:customFunctionIds>_xldudf_WI_MACRO_PAYMENT_NATIONAL_SYSTEM_TYPE</we:customFunctionIds>
        <we:customFunctionIds>_xldudf_WI_MACRO_PAYMENT_INTERNET_AND_MOBILE_BANKING</we:customFunctionIds>
        <we:customFunctionIds>_xldudf_WI_MACRO_PAYMENT_INTERNET_AND_MOBILE_BANKING_ITEMS</we:customFunctionIds>
        <we:customFunctionIds>_xldudf_WI_MACRO_PAYMENT_INTERNET_AND_MOBILE_BANKING_TYPE</we:customFunctionIds>
        <we:customFunctionIds>_xldudf_WI_MACRO_PAYMENT_ATM_AND_POS</we:customFunctionIds>
        <we:customFunctionIds>_xldudf_WI_MACRO_PAYMENT_ATM_AND_POS_ITEMS</we:customFunctionIds>
        <we:customFunctionIds>_xldudf_WI_MACRO_PAYMENT_ATM_AND_POS_TYPE</we:customFunctionIds>
        <we:customFunctionIds>_xldudf_WI_MACRO_PAYMENT_PERSONAL_DEPOSIT</we:customFunctionIds>
        <we:customFunctionIds>_xldudf_WI_MACRO_PAYMENT_PERSONAL_DEPOSIT_ITEMS</we:customFunctionIds>
        <we:customFunctionIds>_xldudf_WI_MACRO_PAYMENT_PERSONAL_DEPOSIT_TYPE</we:customFunctionIds>
        <we:customFunctionIds>_xldudf_WI_MACRO_VISTOR_LOCAL</we:customFunctionIds>
        <we:customFunctionIds>_xldudf_WI_MACRO_VISTOR_LOCAL_ITEMS</we:customFunctionIds>
        <we:customFunctionIds>_xldudf_WI_MACRO_VISTOR_LOCAL_TYPE</we:customFunctionIds>
        <we:customFunctionIds>_xldudf_WI_MACRO_M0</we:customFunctionIds>
        <we:customFunctionIds>_xldudf_WI_MACRO_M0_TYPE</we:customFunctionIds>
        <we:customFunctionIds>_xldudf_WI_MACRO_BUSINESS_NEW_REGISTRATION</we:customFunctionIds>
        <we:customFunctionIds>_xldudf_WI_MACRO_BUSINESS_NEW_REGISTRATION_ITEMS</we:customFunctionIds>
        <we:customFunctionIds>_xldudf_WI_MACRO_BUSINESS_NEW_REGISTRATION_TYPE</we:customFunctionIds>
        <we:customFunctionIds>_xldudf_WI_MACRO_BUSINESS_NEW_REGISTERED_CAPITAL</we:customFunctionIds>
        <we:customFunctionIds>_xldudf_WI_MACRO_BUSINESS_NEW_REGISTERED_CAPITAL_ITEMS</we:customFunctionIds>
        <we:customFunctionIds>_xldudf_WI_MACRO_BUSINESS_NEW_REGISTERED_CAPITAL_TYPE</we:customFunctionIds>
        <we:customFunctionIds>_xldudf_WI_MACRO_BUSINESS_REOPENING_ACCUMULATION</we:customFunctionIds>
        <we:customFunctionIds>_xldudf_WI_MACRO_BUSINESS_REOPENING_ACCUMULATION_ITEMS</we:customFunctionIds>
        <we:customFunctionIds>_xldudf_WI_MACRO_BUSINESS_REOPENING_ACCUMULATION_TYPE</we:customFunctionIds>
        <we:customFunctionIds>_xldudf_WI_MACRO_BUSINESS_CESSATION_ACCUMULATION</we:customFunctionIds>
        <we:customFunctionIds>_xldudf_WI_MACRO_BUSINESS_CESSATION_ACCUMULATION_ITEMS</we:customFunctionIds>
        <we:customFunctionIds>_xldudf_WI_MACRO_BUSINESS_CESSATION_ACCUMULATION_TYPE</we:customFunctionIds>
        <we:customFunctionIds>_xldudf_WI_MACRO_BUSINESS_DISSOLUTION</we:customFunctionIds>
        <we:customFunctionIds>_xldudf_WI_MACRO_BUSINESS_DISSOLUTION_ITEMS</we:customFunctionIds>
        <we:customFunctionIds>_xldudf_WI_MACRO_BUSINESS_DISSOLUTION_TYPE</we:customFunctionIds>
        <we:customFunctionIds>_xldudf_WI_MACRO_BUSINESS_LABOR_REGISTRATION</we:customFunctionIds>
        <we:customFunctionIds>_xldudf_WI_MACRO_BUSINESS_LABOR_REGISTRATION_ITEMS</we:customFunctionIds>
        <we:customFunctionIds>_xldudf_WI_MACRO_BUSINESS_LABOR_REGISTRATION_TYPE</we:customFunctionIds>
        <we:customFunctionIds>_xldudf_WI_COMPANY_FINANCIAL_STATEMENT_PARENT</we:customFunctionIds>
        <we:customFunctionIds>_xldudf_WI_COMPANY_FINANCIAL_STATEMENT_PARENT_ITEMS</we:customFunctionIds>
        <we:customFunctionIds>_xldudf_WI_COMPANY_FINANCIAL_STATEMENT_PARENT_ITEMS_COMPANYTYPE</we:customFunctionIds>
        <we:customFunctionIds>_xldudf_WI_COMPANY_FINANCIAL_STATEMENT_PARENT_TICKER</we:customFunctionIds>
        <we:customFunctionIds>_xldudf_WI_COMPANY_FINANCIAL_STATEMENT_PARENT_TICKER_COMPANYTYPE</we:customFunctionIds>
        <we:customFunctionIds>_xldudf_WI_COMPANY_FINANCIAL_STATEMENT_PARENT_TICKER_EXCHANGE</we:customFunctionIds>
        <we:customFunctionIds>_xldudf_WI_COMPANY_FINANCIAL_STATEMENT_PARENT_TICKER_SECTOR_LEVEL</we:customFunctionIds>
        <we:customFunctionIds>_xldudf_WI_COMPANY_FINANCIAL_STATEMENT_PARENT_TICKER_SECTOR_ID</we:customFunctionIds>
        <we:customFunctionIds>_xldudf_WI_COMPANY_FINANCIAL_STATEMENT_PARENT_TICKER_SECTOR_ID_SECTOR_LEVEL</we:customFunctionIds>
        <we:customFunctionIds>_xldudf_WI_COMPANY_FINANCIAL_STATEMENT_PARENT_TYPE</we:customFunctionIds>
        <we:customFunctionIds>_xldudf_WI_COMPANY_FINANCIAL_RATIO_REALTIME</we:customFunctionIds>
        <we:customFunctionIds>_xldudf_WI_COMPANY_FINANCIAL_RATIO_REALTIME_ITEMS</we:customFunctionIds>
        <we:customFunctionIds>_xldudf_WI_COMPANY_FINANCIAL_RATIO_REALTIME_ITEMS_COMPANYTYPE</we:customFunctionIds>
        <we:customFunctionIds>_xldudf_WI_COMPANY_FINANCIAL_RATIO_REALTIME_TICKER</we:customFunctionIds>
        <we:customFunctionIds>_xldudf_WI_COMPANY_FINANCIAL_RATIO_REALTIME_TICKER_COMPANYTYPE</we:customFunctionIds>
        <we:customFunctionIds>_xldudf_WI_COMPANY_FINANCIAL_RATIO_REALTIME_TICKER_EXCHANGE</we:customFunctionIds>
        <we:customFunctionIds>_xldudf_WI_COMPANY_FINANCIAL_RATIO_REALTIME_TICKER_SECTOR_LEVEL</we:customFunctionIds>
        <we:customFunctionIds>_xldudf_WI_COMPANY_FINANCIAL_RATIO_REALTIME_TICKER_SECTOR_ID</we:customFunctionIds>
        <we:customFunctionIds>_xldudf_WI_COMPANY_FINANCIAL_RATIO_REALTIME_TICKER_SECTOR_ID_SECTOR_LEVEL</we:customFunctionIds>
        <we:customFunctionIds>_xldudf_WI_SECTOR_FINANCIAL_RATIO_REALTIME</we:customFunctionIds>
        <we:customFunctionIds>_xldudf_WI_SECTOR_FINANCIAL_RATIO_REALTIME_SECTOR_LEVEL</we:customFunctionIds>
        <we:customFunctionIds>_xldudf_WI_SECTOR_FINANCIAL_RATIO_REALTIME_SECTOR_ID</we:customFunctionIds>
        <we:customFunctionIds>_xldudf_WI_SECTOR_FINANCIAL_RATIO_REALTIME_SECTOR_ID_SECTOR_LEVEL</we:customFunctionIds>
        <we:customFunctionIds>_xldudf_WI_SECTOR_FINANCIAL_RATIO_REALTIME_ITEMS</we:customFunctionIds>
        <we:customFunctionIds>_xldudf_WI_MACRO_IMPORT_WEIGHT</we:customFunctionIds>
        <we:customFunctionIds>_xldudf_WI_MACRO_IMPORT_WEIGHT_ITEMS</we:customFunctionIds>
        <we:customFunctionIds>_xldudf_WI_MACRO_IMPORT_WEIGHT_TYPE</we:customFunctionIds>
        <we:customFunctionIds>_xldudf_WI_MACRO_EXPORT_WEIGHT</we:customFunctionIds>
        <we:customFunctionIds>_xldudf_WI_MACRO_EXPORT_WEIGHT_ITEMS</we:customFunctionIds>
        <we:customFunctionIds>_xldudf_WI_MACRO_EXPORT_WEIGHT_TYPE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039E90D-78F8-4E50-9A90-B9BB7B6A1CA6}">
  <we:reference id="wa200005777" version="1.0.0.1" store="en-US" storeType="OMEX"/>
  <we:alternateReferences>
    <we:reference id="WA200005777" version="1.0.0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_xldudf_WI_COMPANY_FINANCIAL_STATEMENT</we:customFunctionIds>
        <we:customFunctionIds>_xldudf_WI_COMPANY_FINANCIAL_STATEMENT_ITEMS</we:customFunctionIds>
        <we:customFunctionIds>_xldudf_WI_COMPANY_FINANCIAL_STATEMENT_ITEMS_COMPANYTYPE</we:customFunctionIds>
        <we:customFunctionIds>_xldudf_WI_COMPANY_FINANCIAL_STATEMENT_TICKER</we:customFunctionIds>
        <we:customFunctionIds>_xldudf_WI_COMPANY_FINANCIAL_STATEMENT_TICKER_COMPANYTYPE</we:customFunctionIds>
        <we:customFunctionIds>_xldudf_WI_COMPANY_FINANCIAL_STATEMENT_TICKER_EXCHANGE</we:customFunctionIds>
        <we:customFunctionIds>_xldudf_WI_COMPANY_FINANCIAL_STATEMENT_TICKER_SECTOR_LEVEL</we:customFunctionIds>
        <we:customFunctionIds>_xldudf_WI_COMPANY_FINANCIAL_STATEMENT_TICKER_SECTOR_ID</we:customFunctionIds>
        <we:customFunctionIds>_xldudf_WI_COMPANY_FINANCIAL_STATEMENT_TICKER_SECTOR_ID_SECTOR_LEVEL</we:customFunctionIds>
        <we:customFunctionIds>_xldudf_WI_COMPANY_FINANCIAL_STATEMENT_TYPE</we:customFunctionIds>
        <we:customFunctionIds>_xldudf_WI_COMPANY_FINANCIAL_RATIO</we:customFunctionIds>
        <we:customFunctionIds>_xldudf_WI_COMPANY_FINANCIAL_RATIO_ITEMS</we:customFunctionIds>
        <we:customFunctionIds>_xldudf_WI_COMPANY_FINANCIAL_RATIO_ITEMS_COMPANYTYPE</we:customFunctionIds>
        <we:customFunctionIds>_xldudf_WI_COMPANY_FINANCIAL_RATIO_TICKER</we:customFunctionIds>
        <we:customFunctionIds>_xldudf_WI_COMPANY_FINANCIAL_RATIO_TICKER_COMPANYTYPE</we:customFunctionIds>
        <we:customFunctionIds>_xldudf_WI_COMPANY_FINANCIAL_RATIO_TICKER_EXCHANGE</we:customFunctionIds>
        <we:customFunctionIds>_xldudf_WI_COMPANY_FINANCIAL_RATIO_TICKER_SECTOR_LEVEL</we:customFunctionIds>
        <we:customFunctionIds>_xldudf_WI_COMPANY_FINANCIAL_RATIO_TICKER_SECTOR_ID</we:customFunctionIds>
        <we:customFunctionIds>_xldudf_WI_COMPANY_FINANCIAL_RATIO_TICKER_SECTOR_ID_SECTOR_LEVEL</we:customFunctionIds>
        <we:customFunctionIds>_xldudf_WI_COMPANY_FINANCIAL_RATIO_TYPE</we:customFunctionIds>
        <we:customFunctionIds>_xldudf_WI_COMPANY_INFO</we:customFunctionIds>
        <we:customFunctionIds>_xldudf_WI_COMPANY_INFO_TICKER</we:customFunctionIds>
        <we:customFunctionIds>_xldudf_WI_COMPANY_INFO_TICKER_COMPANYTYPE</we:customFunctionIds>
        <we:customFunctionIds>_xldudf_WI_COMPANY_INFO_TICKER_EXCHANGE</we:customFunctionIds>
        <we:customFunctionIds>_xldudf_WI_COMPANY_INFO_TICKER_SECTOR_LEVEL</we:customFunctionIds>
        <we:customFunctionIds>_xldudf_WI_COMPANY_INFO_TICKER_SECTOR_ID</we:customFunctionIds>
        <we:customFunctionIds>_xldudf_WI_COMPANY_INFO_TICKER_SECTOR_ID_SECTOR_LEVEL</we:customFunctionIds>
        <we:customFunctionIds>_xldudf_WI_COMPANY_INFO_EXCHANGE</we:customFunctionIds>
        <we:customFunctionIds>_xldudf_WI_COMPANY_INFO_COMPANYTYPE</we:customFunctionIds>
        <we:customFunctionIds>_xldudf_WI_COMPANY_INFO_ITEMS</we:customFunctionIds>
        <we:customFunctionIds>_xldudf_WI_COMPANY_LEADER</we:customFunctionIds>
        <we:customFunctionIds>_xldudf_WI_COMPANY_LEADER_TICKER</we:customFunctionIds>
        <we:customFunctionIds>_xldudf_WI_COMPANY_LEADER_TICKER_COMPANYTYPE</we:customFunctionIds>
        <we:customFunctionIds>_xldudf_WI_COMPANY_LEADER_TICKER_EXCHANGE</we:customFunctionIds>
        <we:customFunctionIds>_xldudf_WI_COMPANY_LEADER_TICKER_SECTOR_LEVEL</we:customFunctionIds>
        <we:customFunctionIds>_xldudf_WI_COMPANY_LEADER_TICKER_SECTOR_ID</we:customFunctionIds>
        <we:customFunctionIds>_xldudf_WI_COMPANY_LEADER_TICKER_SECTOR_ID_SECTOR_LEVEL</we:customFunctionIds>
        <we:customFunctionIds>_xldudf_WI_COMPANY_HOLDER</we:customFunctionIds>
        <we:customFunctionIds>_xldudf_WI_COMPANY_HOLDER_TICKER</we:customFunctionIds>
        <we:customFunctionIds>_xldudf_WI_COMPANY_HOLDER_TICKER_COMPANYTYPE</we:customFunctionIds>
        <we:customFunctionIds>_xldudf_WI_COMPANY_HOLDER_TICKER_EXCHANGE</we:customFunctionIds>
        <we:customFunctionIds>_xldudf_WI_COMPANY_HOLDER_TICKER_SECTOR_LEVEL</we:customFunctionIds>
        <we:customFunctionIds>_xldudf_WI_COMPANY_HOLDER_TICKER_SECTOR_ID</we:customFunctionIds>
        <we:customFunctionIds>_xldudf_WI_COMPANY_HOLDER_TICKER_SECTOR_ID_SECTOR_LEVEL</we:customFunctionIds>
        <we:customFunctionIds>_xldudf_WI_COMPANY_HOLDERSTOCKHOLD</we:customFunctionIds>
        <we:customFunctionIds>_xldudf_WI_COMPANY_HOLDERSTOCKHOLD_NAME</we:customFunctionIds>
        <we:customFunctionIds>_xldudf_WI_COMPANY_HOLDERSTOCKHOLD_NAME_TICKER</we:customFunctionIds>
        <we:customFunctionIds>_xldudf_WI_COMPANY_HOLDERSTOCKHOLD_NAME_TICKER_COMPANYTYPE</we:customFunctionIds>
        <we:customFunctionIds>_xldudf_WI_COMPANY_HOLDERSTOCKHOLD_NAME_TICKER_EXCHANGE</we:customFunctionIds>
        <we:customFunctionIds>_xldudf_WI_COMPANY_HOLDERSTOCKHOLD_NAME_TICKER_SECTOR_LEVEL</we:customFunctionIds>
        <we:customFunctionIds>_xldudf_WI_COMPANY_HOLDERSTOCKHOLD_NAME_TICKER_SECTOR_ID</we:customFunctionIds>
        <we:customFunctionIds>_xldudf_WI_COMPANY_HOLDERSTOCKHOLD_NAME_TICKER_SECTOR_ID_SECTOR_LEVEL</we:customFunctionIds>
        <we:customFunctionIds>_xldudf_WI_COMPANY_HOLDERSTOCKHOLD_TICKER</we:customFunctionIds>
        <we:customFunctionIds>_xldudf_WI_COMPANY_HOLDERSTOCKHOLD_TICKER_COMPANYTYPE</we:customFunctionIds>
        <we:customFunctionIds>_xldudf_WI_COMPANY_HOLDERSTOCKHOLD_TICKER_EXCHANGE</we:customFunctionIds>
        <we:customFunctionIds>_xldudf_WI_COMPANY_HOLDERSTOCKHOLD_TICKER_SECTOR_LEVEL</we:customFunctionIds>
        <we:customFunctionIds>_xldudf_WI_COMPANY_HOLDERSTOCKHOLD_TICKER_SECTOR_ID</we:customFunctionIds>
        <we:customFunctionIds>_xldudf_WI_COMPANY_HOLDERSTOCKHOLD_TICKER_SECTOR_ID_SECTOR_LEVEL</we:customFunctionIds>
        <we:customFunctionIds>_xldudf_WI_COMPANY_HOLDERSTOCKHOLD_HISTORY</we:customFunctionIds>
        <we:customFunctionIds>_xldudf_WI_COMPANY_SUBCOMPANY</we:customFunctionIds>
        <we:customFunctionIds>_xldudf_WI_COMPANY_SUBCOMPANY_TICKER</we:customFunctionIds>
        <we:customFunctionIds>_xldudf_WI_COMPANY_SUBCOMPANY_TICKER_COMPANYTYPE</we:customFunctionIds>
        <we:customFunctionIds>_xldudf_WI_COMPANY_SUBCOMPANY_TICKER_EXCHANGE</we:customFunctionIds>
        <we:customFunctionIds>_xldudf_WI_COMPANY_SUBCOMPANY_TICKER_SECTOR_LEVEL</we:customFunctionIds>
        <we:customFunctionIds>_xldudf_WI_COMPANY_SUBCOMPANY_TICKER_SECTOR_ID</we:customFunctionIds>
        <we:customFunctionIds>_xldudf_WI_COMPANY_SUBCOMPANY_TICKER_SECTOR_ID_SECTOR_LEVEL</we:customFunctionIds>
        <we:customFunctionIds>_xldudf_WI_COMPANY_EVENT</we:customFunctionIds>
        <we:customFunctionIds>_xldudf_WI_COMPANY_EVENT_TICKER</we:customFunctionIds>
        <we:customFunctionIds>_xldudf_WI_COMPANY_EVENT_TICKER_COMPANYTYPE</we:customFunctionIds>
        <we:customFunctionIds>_xldudf_WI_COMPANY_EVENT_TICKER_EXCHANGE</we:customFunctionIds>
        <we:customFunctionIds>_xldudf_WI_COMPANY_EVENT_TICKER_SECTOR_LEVEL</we:customFunctionIds>
        <we:customFunctionIds>_xldudf_WI_COMPANY_EVENT_TICKER_SECTOR_ID</we:customFunctionIds>
        <we:customFunctionIds>_xldudf_WI_COMPANY_EVENT_TICKER_SECTOR_ID_SECTOR_LEVEL</we:customFunctionIds>
        <we:customFunctionIds>_xldudf_WI_COMPANY_AUDIT</we:customFunctionIds>
        <we:customFunctionIds>_xldudf_WI_COMPANY_AUDIT_TICKER</we:customFunctionIds>
        <we:customFunctionIds>_xldudf_WI_COMPANY_AUDIT_TICKER_COMPANYTYPE</we:customFunctionIds>
        <we:customFunctionIds>_xldudf_WI_COMPANY_AUDIT_TICKER_EXCHANGE</we:customFunctionIds>
        <we:customFunctionIds>_xldudf_WI_COMPANY_AUDIT_TICKER_SECTOR_LEVEL</we:customFunctionIds>
        <we:customFunctionIds>_xldudf_WI_COMPANY_AUDIT_TICKER_SECTOR_ID</we:customFunctionIds>
        <we:customFunctionIds>_xldudf_WI_COMPANY_AUDIT_TICKER_SECTOR_ID_SECTOR_LEVEL</we:customFunctionIds>
        <we:customFunctionIds>_xldudf_WI_COMPANY_FINANCIAL_PLANNING</we:customFunctionIds>
        <we:customFunctionIds>_xldudf_WI_COMPANY_FINANCIAL_PLANNING_TICKER</we:customFunctionIds>
        <we:customFunctionIds>_xldudf_WI_COMPANY_FINANCIAL_PLANNING_TICKER_COMPANYTYPE</we:customFunctionIds>
        <we:customFunctionIds>_xldudf_WI_COMPANY_FINANCIAL_PLANNING_TICKER_EXCHANGE</we:customFunctionIds>
        <we:customFunctionIds>_xldudf_WI_COMPANY_FINANCIAL_PLANNING_TICKER_SECTOR_LEVEL</we:customFunctionIds>
        <we:customFunctionIds>_xldudf_WI_COMPANY_FINANCIAL_PLANNING_TICKER_SECTOR_ID</we:customFunctionIds>
        <we:customFunctionIds>_xldudf_WI_COMPANY_FINANCIAL_PLANNING_TICKER_SECTOR_ID_SECTOR_LEVEL</we:customFunctionIds>
        <we:customFunctionIds>_xldudf_WI_COMPANY_INSIDER_TRANSACTION</we:customFunctionIds>
        <we:customFunctionIds>_xldudf_WI_COMPANY_INSIDER_TRANSACTION_TICKER</we:customFunctionIds>
        <we:customFunctionIds>_xldudf_WI_COMPANY_INSIDER_TRANSACTION_TICKER_COMPANYTYPE</we:customFunctionIds>
        <we:customFunctionIds>_xldudf_WI_COMPANY_INSIDER_TRANSACTION_TICKER_EXCHANGE</we:customFunctionIds>
        <we:customFunctionIds>_xldudf_WI_COMPANY_INSIDER_TRANSACTION_TICKER_SECTOR_LEVEL</we:customFunctionIds>
        <we:customFunctionIds>_xldudf_WI_COMPANY_INSIDER_TRANSACTION_TICKER_SECTOR_ID</we:customFunctionIds>
        <we:customFunctionIds>_xldudf_WI_COMPANY_INSIDER_TRANSACTION_TICKER_SECTOR_ID_SECTOR_LEVEL</we:customFunctionIds>
        <we:customFunctionIds>_xldudf_WI_CHOOSE</we:customFunctionIds>
        <we:customFunctionIds>_xldudf_WI_STOCKMARKET_PRICE</we:customFunctionIds>
        <we:customFunctionIds>_xldudf_WI_STOCKMARKET_PRICE_TICKER</we:customFunctionIds>
        <we:customFunctionIds>_xldudf_WI_STOCKMARKET_PRICE_TICKER_COMPANYTYPE</we:customFunctionIds>
        <we:customFunctionIds>_xldudf_WI_STOCKMARKET_PRICE_TICKER_EXCHANGE</we:customFunctionIds>
        <we:customFunctionIds>_xldudf_WI_STOCKMARKET_PRICE_TICKER_SECTOR_LEVEL</we:customFunctionIds>
        <we:customFunctionIds>_xldudf_WI_STOCKMARKET_PRICE_TICKER_SECTOR_ID</we:customFunctionIds>
        <we:customFunctionIds>_xldudf_WI_STOCKMARKET_PRICE_TICKER_SECTOR_ID_SECTOR_LEVEL</we:customFunctionIds>
        <we:customFunctionIds>_xldudf_WI_STOCKMARKET_PRICE_ITEMS</we:customFunctionIds>
        <we:customFunctionIds>_xldudf_WI_STOCKMARKET_PRICE_REALTIME</we:customFunctionIds>
        <we:customFunctionIds>_xldudf_WI_STOCKMARKET_PRICE_REALTIME_TICKER</we:customFunctionIds>
        <we:customFunctionIds>_xldudf_WI_STOCKMARKET_PRICE_REALTIME_TICKER_COMPANYTYPE</we:customFunctionIds>
        <we:customFunctionIds>_xldudf_WI_STOCKMARKET_PRICE_REALTIME_TICKER_EXCHANGE</we:customFunctionIds>
        <we:customFunctionIds>_xldudf_WI_STOCKMARKET_PRICE_REALTIME_TICKER_SECTOR_LEVEL</we:customFunctionIds>
        <we:customFunctionIds>_xldudf_WI_STOCKMARKET_PRICE_REALTIME_TICKER_SECTOR_ID</we:customFunctionIds>
        <we:customFunctionIds>_xldudf_WI_STOCKMARKET_PRICE_REALTIME_TICKER_SECTOR_ID_SECTOR_LEVEL</we:customFunctionIds>
        <we:customFunctionIds>_xldudf_WI_STOCKMARKET_PRICE_REALTIME_ITEMS</we:customFunctionIds>
        <we:customFunctionIds>_xldudf_WI_STOCKMARKET_INDEX_GLOBAL</we:customFunctionIds>
        <we:customFunctionIds>_xldudf_WI_STOCKMARKET_INDEX_GLOBAL_INDEX</we:customFunctionIds>
        <we:customFunctionIds>_xldudf_WI_STOCKMARKET_INDEX_SECTOR</we:customFunctionIds>
        <we:customFunctionIds>_xldudf_WI_STOCKMARKET_INDEX_SECTOR_SECTOR_LEVEL</we:customFunctionIds>
        <we:customFunctionIds>_xldudf_WI_STOCKMARKET_INDEX_SECTOR_SECTOR_ID</we:customFunctionIds>
        <we:customFunctionIds>_xldudf_WI_STOCKMARKET_INDEX_SECTOR_SECTOR_ID_SECTOR_LEVEL</we:customFunctionIds>
        <we:customFunctionIds>_xldudf_WI_REPORT_COMPANY</we:customFunctionIds>
        <we:customFunctionIds>_xldudf_WI_REPORT_COMPANY_TICKER</we:customFunctionIds>
        <we:customFunctionIds>_xldudf_WI_REPORT_COMPANY_TICKER_COMPANYTYPE</we:customFunctionIds>
        <we:customFunctionIds>_xldudf_WI_REPORT_COMPANY_TICKER_EXCHANGE</we:customFunctionIds>
        <we:customFunctionIds>_xldudf_WI_REPORT_COMPANY_TICKER_SECTOR_LEVEL</we:customFunctionIds>
        <we:customFunctionIds>_xldudf_WI_REPORT_COMPANY_TICKER_SECTOR_ID</we:customFunctionIds>
        <we:customFunctionIds>_xldudf_WI_REPORT_COMPANY_TICKER_SECTOR_ID_SECTOR_LEVEL</we:customFunctionIds>
        <we:customFunctionIds>_xldudf_WI_REPORT_COMPANY_RECOMMENDATION</we:customFunctionIds>
        <we:customFunctionIds>_xldudf_WI_REPORT_COMPANY_SOURCE</we:customFunctionIds>
        <we:customFunctionIds>_xldudf_WI_REPORT_SECTOR</we:customFunctionIds>
        <we:customFunctionIds>_xldudf_WI_REPORT_SECTOR_SECTOR</we:customFunctionIds>
        <we:customFunctionIds>_xldudf_WI_REPORT_SECTOR_RECOMMENDATION</we:customFunctionIds>
        <we:customFunctionIds>_xldudf_WI_REPORT_SECTOR_SOURCE</we:customFunctionIds>
        <we:customFunctionIds>_xldudf_WI_REPORT_MACRO</we:customFunctionIds>
        <we:customFunctionIds>_xldudf_WI_REPORT_MACRO_SOURCE</we:customFunctionIds>
        <we:customFunctionIds>_xldudf_WI_REPORT_STRATEGY</we:customFunctionIds>
        <we:customFunctionIds>_xldudf_WI_REPORT_STRATEGY_SOURCE</we:customFunctionIds>
        <we:customFunctionIds>_xldudf_WI_SECTOR_ID</we:customFunctionIds>
        <we:customFunctionIds>_xldudf_WI_SECTOR_ID_SECTOR_LEVEL</we:customFunctionIds>
        <we:customFunctionIds>_xldudf_WI_SECTOR_FINANCIAL_STATEMENT</we:customFunctionIds>
        <we:customFunctionIds>_xldudf_WI_SECTOR_FINANCIAL_STATEMENT_SECTOR_LEVEL</we:customFunctionIds>
        <we:customFunctionIds>_xldudf_WI_SECTOR_FINANCIAL_STATEMENT_SECTOR_ID</we:customFunctionIds>
        <we:customFunctionIds>_xldudf_WI_SECTOR_FINANCIAL_STATEMENT_SECTOR_ID_SECTOR_LEVEL</we:customFunctionIds>
        <we:customFunctionIds>_xldudf_WI_SECTOR_FINANCIAL_STATEMENT_ITEMS</we:customFunctionIds>
        <we:customFunctionIds>_xldudf_WI_SECTOR_FINANCIAL_STATEMENT_ITEMS_COMPANYTYPE</we:customFunctionIds>
        <we:customFunctionIds>_xldudf_WI_SECTOR_FINANCIAL_STATEMENT_TYPE</we:customFunctionIds>
        <we:customFunctionIds>_xldudf_WI_SECTOR_FINANCIAL_RATIO</we:customFunctionIds>
        <we:customFunctionIds>_xldudf_WI_SECTOR_FINANCIAL_RATIO_SECTOR_LEVEL</we:customFunctionIds>
        <we:customFunctionIds>_xldudf_WI_SECTOR_FINANCIAL_RATIO_SECTOR_ID</we:customFunctionIds>
        <we:customFunctionIds>_xldudf_WI_SECTOR_FINANCIAL_RATIO_SECTOR_ID_SECTOR_LEVEL</we:customFunctionIds>
        <we:customFunctionIds>_xldudf_WI_SECTOR_FINANCIAL_RATIO_ITEMS</we:customFunctionIds>
        <we:customFunctionIds>_xldudf_WI_SECTOR_FINANCIAL_RATIO_ITEMS_COMPANYTYPE</we:customFunctionIds>
        <we:customFunctionIds>_xldudf_WI_SECTOR_FINANCIAL_RATIO_TYPE</we:customFunctionIds>
        <we:customFunctionIds>_xldudf_WI_MACRO_PMI</we:customFunctionIds>
        <we:customFunctionIds>_xldudf_WI_MACRO_IIP</we:customFunctionIds>
        <we:customFunctionIds>_xldudf_WI_MACRO_IIP_ITEMS</we:customFunctionIds>
        <we:customFunctionIds>_xldudf_WI_MACRO_INDUSTRIAL_PRODUCT</we:customFunctionIds>
        <we:customFunctionIds>_xldudf_WI_MACRO_INDUSTRIAL_PRODUCT_ITEMS</we:customFunctionIds>
        <we:customFunctionIds>_xldudf_WI_MACRO_INDUSTRIAL_PRODUCT_TYPE</we:customFunctionIds>
        <we:customFunctionIds>_xldudf_WI_MACRO_RETAIL_SALES</we:customFunctionIds>
        <we:customFunctionIds>_xldudf_WI_MACRO_RETAIL_SALES_ITEMS</we:customFunctionIds>
        <we:customFunctionIds>_xldudf_WI_MACRO_RETAIL_SALES_TYPE</we:customFunctionIds>
        <we:customFunctionIds>_xldudf_WI_MACRO_TRANSPORT_INDEX</we:customFunctionIds>
        <we:customFunctionIds>_xldudf_WI_MACRO_TRANSPORT_INDEX_ITEMS</we:customFunctionIds>
        <we:customFunctionIds>_xldudf_WI_MACRO_TRANSPORT_INDEX_TYPE</we:customFunctionIds>
        <we:customFunctionIds>_xldudf_WI_MACRO_INPUT_PRODUCER_PRICE</we:customFunctionIds>
        <we:customFunctionIds>_xldudf_WI_MACRO_INPUT_PRODUCER_PRICE_ITEMS</we:customFunctionIds>
        <we:customFunctionIds>_xldudf_WI_MACRO_INPUT_PRODUCER_PRICE_TYPE</we:customFunctionIds>
        <we:customFunctionIds>_xldudf_WI_MACRO_PPI</we:customFunctionIds>
        <we:customFunctionIds>_xldudf_WI_MACRO_PPI_ITEMS</we:customFunctionIds>
        <we:customFunctionIds>_xldudf_WI_MACRO_PPI_TYPE</we:customFunctionIds>
        <we:customFunctionIds>_xldudf_WI_MONEYMARKET_OMO</we:customFunctionIds>
        <we:customFunctionIds>_xldudf_WI_MONEYMARKET_OMO_ITEMS</we:customFunctionIds>
        <we:customFunctionIds>_xldudf_WI_MONEYMARKET_OMO_BILLS</we:customFunctionIds>
        <we:customFunctionIds>_xldudf_WI_MONEYMARKET_OMO_BILLS_ITEMS</we:customFunctionIds>
        <we:customFunctionIds>_xldudf_WI_MONEYMARKET_OMO_REVERSEREPO</we:customFunctionIds>
        <we:customFunctionIds>_xldudf_WI_MONEYMARKET_OMO_REVERSEREPO_ITEMS</we:customFunctionIds>
        <we:customFunctionIds>_xldudf_WI_MACRO_M2</we:customFunctionIds>
        <we:customFunctionIds>_xldudf_WI_MACRO_M2_TYPE</we:customFunctionIds>
        <we:customFunctionIds>_xldudf_WI_MACRO_DEPOSIT</we:customFunctionIds>
        <we:customFunctionIds>_xldudf_WI_MACRO_DEPOSIT_TYPE</we:customFunctionIds>
        <we:customFunctionIds>_xldudf_WI_MACRO_CREDIT</we:customFunctionIds>
        <we:customFunctionIds>_xldudf_WI_MACRO_CREDIT_TYPE</we:customFunctionIds>
        <we:customFunctionIds>_xldudf_WI_MONEYMARKET_INTERESTRATE_POLICY</we:customFunctionIds>
        <we:customFunctionIds>_xldudf_WI_MONEYMARKET_INTERESTRATE_POLICY_ITEMS</we:customFunctionIds>
        <we:customFunctionIds>_xldudf_WI_MONEYMARKET_INTERESTRATE_POLICY_CEILING</we:customFunctionIds>
        <we:customFunctionIds>_xldudf_WI_MONEYMARKET_INTERESTRATE_POLICY_CEILING_ITEMS</we:customFunctionIds>
        <we:customFunctionIds>_xldudf_WI_MONEYMARKET_INTERESTRATE_REQUIRED_RESERVE</we:customFunctionIds>
        <we:customFunctionIds>_xldudf_WI_MONEYMARKET_INTERESTRATE_REQUIRED_RESERVE_ITEMS</we:customFunctionIds>
        <we:customFunctionIds>_xldudf_WI_MONEYMARKET_INTERESTRATE_INTERBANK</we:customFunctionIds>
        <we:customFunctionIds>_xldudf_WI_MONEYMARKET_INTERESTRATE_INTERBANK_ITEMS</we:customFunctionIds>
        <we:customFunctionIds>_xldudf_WI_MONEYMARKET_INTERESTRATE_DEPOSIT</we:customFunctionIds>
        <we:customFunctionIds>_xldudf_WI_MONEYMARKET_INTERESTRATE_DEPOSIT_BANK</we:customFunctionIds>
        <we:customFunctionIds>_xldudf_WI_MONEYMARKET_INTERESTRATE_DEPOSIT_TERM</we:customFunctionIds>
        <we:customFunctionIds>_xldudf_WI_MONEYMARKET_INTERESTRATE_GROUP</we:customFunctionIds>
        <we:customFunctionIds>_xldudf_WI_MONEYMARKET_INTERESTRATE_GROUP_BANK_GROUP</we:customFunctionIds>
        <we:customFunctionIds>_xldudf_WI_MONEYMARKET_INTERESTRATE_GROUP_TERM</we:customFunctionIds>
        <we:customFunctionIds>_xldudf_WI_MACRO_CURRENCY_OTHER</we:customFunctionIds>
        <we:customFunctionIds>_xldudf_WI_MACRO_CURRENCY_OTHER_ITEMS</we:customFunctionIds>
        <we:customFunctionIds>_xldudf_WI_MACRO_CURRENCY_USDVND</we:customFunctionIds>
        <we:customFunctionIds>_xldudf_WI_MACRO_CURRENCY_USDVND_ITEMS</we:customFunctionIds>
        <we:customFunctionIds>_xldudf_WI_MACRO_GDP_EXPENDITURE</we:customFunctionIds>
        <we:customFunctionIds>_xldudf_WI_MACRO_GDP_EXPENDITURE_METHOD</we:customFunctionIds>
        <we:customFunctionIds>_xldudf_WI_MACRO_GDP_EXPENDITURE_ITEMS</we:customFunctionIds>
        <we:customFunctionIds>_xldudf_WI_MACRO_GDP_EXPENDITURE_TYPE</we:customFunctionIds>
        <we:customFunctionIds>_xldudf_WI_MACRO_GDP_SECTOR</we:customFunctionIds>
        <we:customFunctionIds>_xldudf_WI_MACRO_GDP_SECTOR_METHOD</we:customFunctionIds>
        <we:customFunctionIds>_xldudf_WI_MACRO_GDP_SECTOR_ITEMS</we:customFunctionIds>
        <we:customFunctionIds>_xldudf_WI_MACRO_GDP_SECTOR_TYPE</we:customFunctionIds>
        <we:customFunctionIds>_xldudf_WI_MACRO_CPI</we:customFunctionIds>
        <we:customFunctionIds>_xldudf_WI_MACRO_CPI_ITEMS</we:customFunctionIds>
        <we:customFunctionIds>_xldudf_WI_MACRO_CPI_TYPE</we:customFunctionIds>
        <we:customFunctionIds>_xldudf_WI_MACRO_CPI_WEIGHT</we:customFunctionIds>
        <we:customFunctionIds>_xldudf_WI_MACRO_CPI_WEIGHT_ITEMS</we:customFunctionIds>
        <we:customFunctionIds>_xldudf_WI_MACRO_BUSINESS_REGISTRATION</we:customFunctionIds>
        <we:customFunctionIds>_xldudf_WI_MACRO_BUSINESS_REGISTRATION_ITEMS</we:customFunctionIds>
        <we:customFunctionIds>_xldudf_WI_MACRO_BUSINESS_REGISTRATION_TYPE</we:customFunctionIds>
        <we:customFunctionIds>_xldudf_WI_MACRO_INVESTMENT_SOCIAL</we:customFunctionIds>
        <we:customFunctionIds>_xldudf_WI_MACRO_INVESTMENT_SOCIAL_ITEMS</we:customFunctionIds>
        <we:customFunctionIds>_xldudf_WI_MACRO_INVESTMENT_SOCIAL_TYPE</we:customFunctionIds>
        <we:customFunctionIds>_xldudf_WI_MACRO_INVESTMENT_GOVERNMENT</we:customFunctionIds>
        <we:customFunctionIds>_xldudf_WI_MACRO_INVESTMENT_GOVERNMENT_ITEMS</we:customFunctionIds>
        <we:customFunctionIds>_xldudf_WI_MACRO_INVESTMENT_GOVERNMENT_TYPE</we:customFunctionIds>
        <we:customFunctionIds>_xldudf_WI_MACRO_FDI</we:customFunctionIds>
        <we:customFunctionIds>_xldudf_WI_MACRO_FDI_ITEMS</we:customFunctionIds>
        <we:customFunctionIds>_xldudf_WI_MACRO_FDI_TYPE</we:customFunctionIds>
        <we:customFunctionIds>_xldudf_WI_MACRO_FDI_INDUSTRY</we:customFunctionIds>
        <we:customFunctionIds>_xldudf_WI_MACRO_FDI_INDUSTRY_ITEMS</we:customFunctionIds>
        <we:customFunctionIds>_xldudf_WI_MACRO_FDI_INDUSTRY_TYPE</we:customFunctionIds>
        <we:customFunctionIds>_xldudf_WI_MACRO_FDI_PROVINCE</we:customFunctionIds>
        <we:customFunctionIds>_xldudf_WI_MACRO_FDI_PROVINCE_ITEMS</we:customFunctionIds>
        <we:customFunctionIds>_xldudf_WI_MACRO_FDI_PROVINCE_TYPE</we:customFunctionIds>
        <we:customFunctionIds>_xldudf_WI_MACRO_FDI_COUNTRY</we:customFunctionIds>
        <we:customFunctionIds>_xldudf_WI_MACRO_FDI_COUNTRY_ITEMS</we:customFunctionIds>
        <we:customFunctionIds>_xldudf_WI_MACRO_FDI_COUNTRY_TYPE</we:customFunctionIds>
        <we:customFunctionIds>_xldudf_WI_MACRO_FDI_INDUSTRY_ACCUMULATION</we:customFunctionIds>
        <we:customFunctionIds>_xldudf_WI_MACRO_FDI_INDUSTRY_ACCUMULATION_ITEMS</we:customFunctionIds>
        <we:customFunctionIds>_xldudf_WI_MACRO_FDI_INDUSTRY_ACCUMULATION_TYPE</we:customFunctionIds>
        <we:customFunctionIds>_xldudf_WI_MACRO_FDI_PROVINCE_ACCUMULATION</we:customFunctionIds>
        <we:customFunctionIds>_xldudf_WI_MACRO_FDI_PROVINCE_ACCUMULATION_ITEMS</we:customFunctionIds>
        <we:customFunctionIds>_xldudf_WI_MACRO_FDI_PROVINCE_ACCUMULATION_TYPE</we:customFunctionIds>
        <we:customFunctionIds>_xldudf_WI_MACRO_FDI_COUNTRY_ACCUMULATION</we:customFunctionIds>
        <we:customFunctionIds>_xldudf_WI_MACRO_FDI_COUNTRY_ACCUMULATION_ITEMS</we:customFunctionIds>
        <we:customFunctionIds>_xldudf_WI_MACRO_FDI_COUNTRY_ACCUMULATION_TYPE</we:customFunctionIds>
        <we:customFunctionIds>_xldudf_WI_MACRO_EXPORT</we:customFunctionIds>
        <we:customFunctionIds>_xldudf_WI_MACRO_EXPORT_ITEMS</we:customFunctionIds>
        <we:customFunctionIds>_xldudf_WI_MACRO_EXPORT_TYPE</we:customFunctionIds>
        <we:customFunctionIds>_xldudf_WI_MACRO_EXPORT_PRICE</we:customFunctionIds>
        <we:customFunctionIds>_xldudf_WI_MACRO_EXPORT_PRICE_ITEMS</we:customFunctionIds>
        <we:customFunctionIds>_xldudf_WI_MACRO_EXPORT_PRICE_TYPE</we:customFunctionIds>
        <we:customFunctionIds>_xldudf_WI_MACRO_EXPORT_DETAIL</we:customFunctionIds>
        <we:customFunctionIds>_xldudf_WI_MACRO_EXPORT_DETAIL_ITEMS</we:customFunctionIds>
        <we:customFunctionIds>_xldudf_WI_MACRO_EXPORT_DETAIL_COUNTRY</we:customFunctionIds>
        <we:customFunctionIds>_xldudf_WI_MACRO_EXPORT_DETAIL_TYPE</we:customFunctionIds>
        <we:customFunctionIds>_xldudf_WI_MACRO_IMPORT</we:customFunctionIds>
        <we:customFunctionIds>_xldudf_WI_MACRO_IMPORT_ITEMS</we:customFunctionIds>
        <we:customFunctionIds>_xldudf_WI_MACRO_IMPORT_TYPE</we:customFunctionIds>
        <we:customFunctionIds>_xldudf_WI_MACRO_IMPORT_PRICE</we:customFunctionIds>
        <we:customFunctionIds>_xldudf_WI_MACRO_IMPORT_PRICE_ITEMS</we:customFunctionIds>
        <we:customFunctionIds>_xldudf_WI_MACRO_IMPORT_PRICE_TYPE</we:customFunctionIds>
        <we:customFunctionIds>_xldudf_WI_MACRO_IMPORT_DETAIL</we:customFunctionIds>
        <we:customFunctionIds>_xldudf_WI_MACRO_IMPORT_DETAIL_COUNTRY</we:customFunctionIds>
        <we:customFunctionIds>_xldudf_WI_MACRO_IMPORT_DETAIL_ITEMS</we:customFunctionIds>
        <we:customFunctionIds>_xldudf_WI_MACRO_IMPORT_DETAIL_TYPE</we:customFunctionIds>
        <we:customFunctionIds>_xldudf_WI_MACRO_VISITOR_COUNTRY</we:customFunctionIds>
        <we:customFunctionIds>_xldudf_WI_MACRO_VISITOR_COUNTRY_ITEMS</we:customFunctionIds>
        <we:customFunctionIds>_xldudf_WI_MACRO_VISITOR_COUNTRY_TYPE</we:customFunctionIds>
        <we:customFunctionIds>_xldudf_WI_MACRO_VISITOR_VEHICLE</we:customFunctionIds>
        <we:customFunctionIds>_xldudf_WI_MACRO_VISITOR_VEHICLE_ITEMS</we:customFunctionIds>
        <we:customFunctionIds>_xldudf_WI_MACRO_VISITOR_VEHICLE_TYPE</we:customFunctionIds>
        <we:customFunctionIds>_xldudf_WI_MACRO_ROTATION_PEOPLE</we:customFunctionIds>
        <we:customFunctionIds>_xldudf_WI_MACRO_ROTATION_PEOPLE_ITEMS</we:customFunctionIds>
        <we:customFunctionIds>_xldudf_WI_MACRO_ROTATION_PEOPLE_TYPE</we:customFunctionIds>
        <we:customFunctionIds>_xldudf_WI_MACRO_TRANSPORT_PEOPLE</we:customFunctionIds>
        <we:customFunctionIds>_xldudf_WI_MACRO_TRANSPORT_PEOPLE_ITEMS</we:customFunctionIds>
        <we:customFunctionIds>_xldudf_WI_MACRO_TRANSPORT_PEOPLE_TYPE</we:customFunctionIds>
        <we:customFunctionIds>_xldudf_WI_MACRO_ROTATION_PRODUCT</we:customFunctionIds>
        <we:customFunctionIds>_xldudf_WI_MACRO_ROTATION_PRODUCT_ITEMS</we:customFunctionIds>
        <we:customFunctionIds>_xldudf_WI_MACRO_ROTATION_PRODUCT_TYPE</we:customFunctionIds>
        <we:customFunctionIds>_xldudf_WI_MACRO_TRANSPORT_PRODUCT</we:customFunctionIds>
        <we:customFunctionIds>_xldudf_WI_MACRO_TRANSPORT_PRODUCT_ITEMS</we:customFunctionIds>
        <we:customFunctionIds>_xldudf_WI_MACRO_TRANSPORT_PRODUCT_TYPE</we:customFunctionIds>
        <we:customFunctionIds>_xldudf_WI_MACRO_FOREIGN_RESERVE</we:customFunctionIds>
        <we:customFunctionIds>_xldudf_WI_MACRO_FOREIGN_RESERVE_TYPE</we:customFunctionIds>
        <we:customFunctionIds>_xldudf_WI_MACRO_BOP</we:customFunctionIds>
        <we:customFunctionIds>_xldudf_WI_MACRO_BOP_ITEMS</we:customFunctionIds>
        <we:customFunctionIds>_xldudf_WI_MACRO_BOP_TYPE</we:customFunctionIds>
        <we:customFunctionIds>_xldudf_WI_MACRO_POPULATION</we:customFunctionIds>
        <we:customFunctionIds>_xldudf_WI_MACRO_POPULATION_PROVINCE</we:customFunctionIds>
        <we:customFunctionIds>_xldudf_WI_MACRO_POPULATION_ITEMS</we:customFunctionIds>
        <we:customFunctionIds>_xldudf_WI_MACRO_POPULATION_TYPE</we:customFunctionIds>
        <we:customFunctionIds>_xldudf_WI_MACRO_FISCAL_REVENUE</we:customFunctionIds>
        <we:customFunctionIds>_xldudf_WI_MACRO_FISCAL_REVENUE_ITEMS</we:customFunctionIds>
        <we:customFunctionIds>_xldudf_WI_MACRO_FISCAL_REVENUE_TYPE</we:customFunctionIds>
        <we:customFunctionIds>_xldudf_WI_MACRO_FISCAL_SPENDING</we:customFunctionIds>
        <we:customFunctionIds>_xldudf_WI_MACRO_FISCAL_SPENDING_ITEMS</we:customFunctionIds>
        <we:customFunctionIds>_xldudf_WI_MACRO_FISCAL_SPENDING_TYPE</we:customFunctionIds>
        <we:customFunctionIds>_xldudf_WI_MACRO_DEBT_GOVERNMENT</we:customFunctionIds>
        <we:customFunctionIds>_xldudf_WI_MACRO_DEBT_GOVERNMENT_ITEMS</we:customFunctionIds>
        <we:customFunctionIds>_xldudf_WI_MACRO_DEBT_GOVERNMENT_TYPE</we:customFunctionIds>
        <we:customFunctionIds>_xldudf_WI_MACRO_DEBT_GUARANTEE_GOVERNMENT</we:customFunctionIds>
        <we:customFunctionIds>_xldudf_WI_MACRO_DEBT_GUARANTEE_GOVERNMENT_ITEMS</we:customFunctionIds>
        <we:customFunctionIds>_xldudf_WI_MACRO_DEBT_GUARANTEE_GOVERNMENT_TYPE</we:customFunctionIds>
        <we:customFunctionIds>_xldudf_WI_MACRO_DEBT_LOCAL_GOVERNMENT</we:customFunctionIds>
        <we:customFunctionIds>_xldudf_WI_MACRO_DEBT_LOCAL_GOVERNMENT_ITEMS</we:customFunctionIds>
        <we:customFunctionIds>_xldudf_WI_MACRO_DEBT_LOCAL_GOVERNMENT_TYPE</we:customFunctionIds>
        <we:customFunctionIds>_xldudf_WI_MACRO_DEBT_FOREIGN</we:customFunctionIds>
        <we:customFunctionIds>_xldudf_WI_MACRO_DEBT_FOREIGN_ITEMS</we:customFunctionIds>
        <we:customFunctionIds>_xldudf_WI_MACRO_DEBT_FOREIGN_TYPE</we:customFunctionIds>
        <we:customFunctionIds>_xldudf_WI_MACRO_LABOR_UNEMPLOYMENT_RATE</we:customFunctionIds>
        <we:customFunctionIds>_xldudf_WI_MACRO_LABOR_UNEMPLOYMENT_RATE_ITEMS</we:customFunctionIds>
        <we:customFunctionIds>_xldudf_WI_MACRO_LABOR_FROM15</we:customFunctionIds>
        <we:customFunctionIds>_xldudf_WI_MACRO_LABOR_FROM15_TYPE</we:customFunctionIds>
        <we:customFunctionIds>_xldudf_WI_MACRO_LABOR_EMPLOYMENT</we:customFunctionIds>
        <we:customFunctionIds>_xldudf_WI_MACRO_LABOR_EMPLOYMENT_TYPE</we:customFunctionIds>
        <we:customFunctionIds>_xldudf_WI_MACRO_LABOR_UNEMPLOYMENT</we:customFunctionIds>
        <we:customFunctionIds>_xldudf_WI_MACRO_LABOR_UNEMPLOYMENT_TYPE</we:customFunctionIds>
        <we:customFunctionIds>_xldudf_WI_MACRO_LABOR_AVERAGESALARY</we:customFunctionIds>
        <we:customFunctionIds>_xldudf_WI_MACRO_LABOR_AVERAGESALARY_TYPE</we:customFunctionIds>
        <we:customFunctionIds>_xldudf_WI_STOCKMARKET_INDEX_DOMESTIC</we:customFunctionIds>
        <we:customFunctionIds>_xldudf_WI_STOCKMARKET_INDEX_DOMESTIC_INDEX</we:customFunctionIds>
        <we:customFunctionIds>_xldudf_WI_STOCKMARKET_INDEX_DOMESTIC_ITEMS</we:customFunctionIds>
        <we:customFunctionIds>_xldudf_WI_STOCKMARKET_INDEX_DOMESTIC_REALTIME</we:customFunctionIds>
        <we:customFunctionIds>_xldudf_WI_STOCKMARKET_INDEX_DOMESTIC_REALTIME_INDEX</we:customFunctionIds>
        <we:customFunctionIds>_xldudf_WI_STOCKMARKET_INDEX_DOMESTIC_REALTIME_ITEMS</we:customFunctionIds>
        <we:customFunctionIds>_xldudf_WI_PROVINCE_LIST</we:customFunctionIds>
        <we:customFunctionIds>_xldudf_WI_PROVINCE_RETAIL_SALES</we:customFunctionIds>
        <we:customFunctionIds>_xldudf_WI_PROVINCE_RETAIL_SALES_PROVINCE</we:customFunctionIds>
        <we:customFunctionIds>_xldudf_WI_PROVINCE_RETAIL_SALES_ITEMS</we:customFunctionIds>
        <we:customFunctionIds>_xldudf_WI_PROVINCE_RETAIL_SALES_TYPE</we:customFunctionIds>
        <we:customFunctionIds>_xldudf_WI_PROVINCE_SPENDING</we:customFunctionIds>
        <we:customFunctionIds>_xldudf_WI_PROVINCE_SPENDING_PROVINCE</we:customFunctionIds>
        <we:customFunctionIds>_xldudf_WI_PROVINCE_SPENDING_ITEMS</we:customFunctionIds>
        <we:customFunctionIds>_xldudf_WI_PROVINCE_SPENDING_TYPE</we:customFunctionIds>
        <we:customFunctionIds>_xldudf_WI_PROVINCE_STATE_REVENUE</we:customFunctionIds>
        <we:customFunctionIds>_xldudf_WI_PROVINCE_STATE_REVENUE_PROVINCE</we:customFunctionIds>
        <we:customFunctionIds>_xldudf_WI_PROVINCE_STATE_REVENUE_ITEMS</we:customFunctionIds>
        <we:customFunctionIds>_xldudf_WI_PROVINCE_STATE_REVENUE_TYPE</we:customFunctionIds>
        <we:customFunctionIds>_xldudf_WI_PROVINCE_CPI</we:customFunctionIds>
        <we:customFunctionIds>_xldudf_WI_PROVINCE_CPI_PROVINCE</we:customFunctionIds>
        <we:customFunctionIds>_xldudf_WI_PROVINCE_CPI_ITEMS</we:customFunctionIds>
        <we:customFunctionIds>_xldudf_WI_PROVINCE_CPI_TYPE</we:customFunctionIds>
        <we:customFunctionIds>_xldudf_WI_PROVINCE_REVENUE_SERVICE</we:customFunctionIds>
        <we:customFunctionIds>_xldudf_WI_PROVINCE_REVENUE_SERVICE_PROVINCE</we:customFunctionIds>
        <we:customFunctionIds>_xldudf_WI_PROVINCE_REVENUE_SERVICE_ITEMS</we:customFunctionIds>
        <we:customFunctionIds>_xldudf_WI_PROVINCE_REVENUE_SERVICE_TYPE</we:customFunctionIds>
        <we:customFunctionIds>_xldudf_WI_PROVINCE_REVENUE_TRANSPORT</we:customFunctionIds>
        <we:customFunctionIds>_xldudf_WI_PROVINCE_REVENUE_TRANSPORT_PROVINCE</we:customFunctionIds>
        <we:customFunctionIds>_xldudf_WI_PROVINCE_REVENUE_TRANSPORT_ITEMS</we:customFunctionIds>
        <we:customFunctionIds>_xldudf_WI_PROVINCE_REVENUE_TRANSPORT_TYPE</we:customFunctionIds>
        <we:customFunctionIds>_xldudf_WI_PROVINCE_VISITOR</we:customFunctionIds>
        <we:customFunctionIds>_xldudf_WI_PROVINCE_VISITOR_PROVINCE</we:customFunctionIds>
        <we:customFunctionIds>_xldudf_WI_PROVINCE_VISITOR_ITEMS</we:customFunctionIds>
        <we:customFunctionIds>_xldudf_WI_PROVINCE_VISITOR_TYPE</we:customFunctionIds>
        <we:customFunctionIds>_xldudf_WI_PROVINCE_CAPITAL_CREDIT</we:customFunctionIds>
        <we:customFunctionIds>_xldudf_WI_PROVINCE_CAPITAL_CREDIT_PROVINCE</we:customFunctionIds>
        <we:customFunctionIds>_xldudf_WI_PROVINCE_CAPITAL_CREDIT_ITEMS</we:customFunctionIds>
        <we:customFunctionIds>_xldudf_WI_PROVINCE_CAPITAL_CREDIT_TYPE</we:customFunctionIds>
        <we:customFunctionIds>_xldudf_WI_PROVINCE_IIP</we:customFunctionIds>
        <we:customFunctionIds>_xldudf_WI_PROVINCE_IIP_PROVINCE</we:customFunctionIds>
        <we:customFunctionIds>_xldudf_WI_PROVINCE_IIP_ITEMS</we:customFunctionIds>
        <we:customFunctionIds>_xldudf_WI_PROVINCE_IIP_TYPE</we:customFunctionIds>
        <we:customFunctionIds>_xldudf_WI_PROVINCE_TRANSPORT_PRODUCT</we:customFunctionIds>
        <we:customFunctionIds>_xldudf_WI_PROVINCE_TRANSPORT_PRODUCT_PROVINCE</we:customFunctionIds>
        <we:customFunctionIds>_xldudf_WI_PROVINCE_TRANSPORT_PRODUCT_ITEMS</we:customFunctionIds>
        <we:customFunctionIds>_xldudf_WI_PROVINCE_TRANSPORT_PRODUCT_TYPE</we:customFunctionIds>
        <we:customFunctionIds>_xldudf_WI_PROVINCE_TRANSPORT_PEOPLE</we:customFunctionIds>
        <we:customFunctionIds>_xldudf_WI_PROVINCE_TRANSPORT_PEOPLE_PROVINCE</we:customFunctionIds>
        <we:customFunctionIds>_xldudf_WI_PROVINCE_TRANSPORT_PEOPLE_ITEMS</we:customFunctionIds>
        <we:customFunctionIds>_xldudf_WI_PROVINCE_TRANSPORT_PEOPLE_TYPE</we:customFunctionIds>
        <we:customFunctionIds>_xldudf_WI_PROVINCE_INVESTMENT_CAPITAL</we:customFunctionIds>
        <we:customFunctionIds>_xldudf_WI_PROVINCE_INVESTMENT_CAPITAL_PROVINCE</we:customFunctionIds>
        <we:customFunctionIds>_xldudf_WI_PROVINCE_INVESTMENT_CAPITAL_ITEMS</we:customFunctionIds>
        <we:customFunctionIds>_xldudf_WI_PROVINCE_INVESTMENT_CAPITAL_TYPE</we:customFunctionIds>
        <we:customFunctionIds>_xldudf_WI_PROVINCE_COMMERCE</we:customFunctionIds>
        <we:customFunctionIds>_xldudf_WI_PROVINCE_COMMERCE_PROVINCE</we:customFunctionIds>
        <we:customFunctionIds>_xldudf_WI_PROVINCE_COMMERCE_ITEMS</we:customFunctionIds>
        <we:customFunctionIds>_xldudf_WI_PROVINCE_COMMERCE_TYPE</we:customFunctionIds>
        <we:customFunctionIds>_xldudf_WI_COMMODITYMARKET_GLOBAL</we:customFunctionIds>
        <we:customFunctionIds>_xldudf_WI_COMMODITYMARKET_GLOBAL_ITEMS</we:customFunctionIds>
        <we:customFunctionIds>_xldudf_WI_COMMODITYMARKET_VIETNAM_DAILY</we:customFunctionIds>
        <we:customFunctionIds>_xldudf_WI_COMMODITYMARKET_VIETNAM_DAILY_ITEMS</we:customFunctionIds>
        <we:customFunctionIds>_xldudf_WI_COMMODITYMARKET_VIETNAM_MONTHLY</we:customFunctionIds>
        <we:customFunctionIds>_xldudf_WI_COMMODITYMARKET_VIETNAM_MONTHLY_ITEMS</we:customFunctionIds>
        <we:customFunctionIds>_xldudf_WI_BONDMARKET_GLOBAL</we:customFunctionIds>
        <we:customFunctionIds>_xldudf_WI_BONDMARKET_GLOBAL_COUNTRY</we:customFunctionIds>
        <we:customFunctionIds>_xldudf_WI_BONDMARKET_GLOBAL_MATURITY</we:customFunctionIds>
        <we:customFunctionIds>_xldudf_WI_BONDMARKET_GBOND_PRIMARY</we:customFunctionIds>
        <we:customFunctionIds>_xldudf_WI_BONDMARKET_GBOND_PRIMARY_TERM</we:customFunctionIds>
        <we:customFunctionIds>_xldudf_WI_BONDMARKET_GBOND_PRIMARY_BOND_TYPE</we:customFunctionIds>
        <we:customFunctionIds>_xldudf_WI_BONDMARKET_GBOND_PRIMARY_ORGANIZATION</we:customFunctionIds>
        <we:customFunctionIds>_xldudf_WI_BONDMARKET_GBOND_SECONDARY</we:customFunctionIds>
        <we:customFunctionIds>_xldudf_WI_BONDMARKET_GBOND_SECONDARY_METHOD</we:customFunctionIds>
        <we:customFunctionIds>_xldudf_WI_BONDMARKET_GBOND_SECONDARY_BOND_TYPE</we:customFunctionIds>
        <we:customFunctionIds>_xldudf_WI_BONDMARKET_GBOND_SECONDARY_INVESTOR</we:customFunctionIds>
        <we:customFunctionIds>_xldudf_WI_BONDMARKET_GBOND_SECONDARY_INVESTOR_INVESTOR_TYPE</we:customFunctionIds>
        <we:customFunctionIds>_xldudf_WI_BONDMARKET_GBOND_SECONDARY_INVESTOR_TIME_TO_MATURITY</we:customFunctionIds>
        <we:customFunctionIds>_xldudf_WI_BONDMARKET_GBOND_SECONDARY_INVESTOR_BOND_TYPE</we:customFunctionIds>
        <we:customFunctionIds>_xldudf_WI_BONDMARKET_CBOND_ISSUANCE_INFORMATION</we:customFunctionIds>
        <we:customFunctionIds>_xldudf_WI_BONDMARKET_CBOND_ISSUANCE_INFORMATION_BOND_TICKER</we:customFunctionIds>
        <we:customFunctionIds>_xldudf_WI_BONDMARKET_CBOND_ISSUANCE_INFORMATION_TICKER</we:customFunctionIds>
        <we:customFunctionIds>_xldudf_WI_BONDMARKET_CBOND_ISSUANCE_INFORMATION_ITEMS</we:customFunctionIds>
        <we:customFunctionIds>_xldudf_WI_BONDMARKET_CBOND_ISSUANCE_INFORMATION_BOND_STATUS</we:customFunctionIds>
        <we:customFunctionIds>_xldudf_WI_BONDMARKET_CBOND_ISSUANCE_INFORMATION_BOND_YIELD_TYPE</we:customFunctionIds>
        <we:customFunctionIds>_xldudf_WI_BONDMARKET_CBOND_ISSUANCE_INFORMATION_IS_COLLATERAL</we:customFunctionIds>
        <we:customFunctionIds>_xldudf_WI_BONDMARKET_CBOND_ISSUER_INFORMATION</we:customFunctionIds>
        <we:customFunctionIds>_xldudf_WI_BONDMARKET_CBOND_ISSUER_INFORMATION_TICKER</we:customFunctionIds>
        <we:customFunctionIds>_xldudf_WI_BONDMARKET_CBOND_ISSUER_INFORMATION_EXCHANGE</we:customFunctionIds>
        <we:customFunctionIds>_xldudf_WI_BONDMARKET_CBOND_ISSUER_INFORMATION_SECTOR_LEVEL</we:customFunctionIds>
        <we:customFunctionIds>_xldudf_WI_BONDMARKET_CBOND_ISSUER_INFORMATION_SECTOR_ID</we:customFunctionIds>
        <we:customFunctionIds>_xldudf_WI_BONDMARKET_CBOND_ISSUER_INFORMATION_SECTOR_ID_SECTOR_LEVEL</we:customFunctionIds>
        <we:customFunctionIds>_xldudf_WI_BONDMARKET_CBOND_AGREEMENT</we:customFunctionIds>
        <we:customFunctionIds>_xldudf_WI_BONDMARKET_CBOND_AGREEMENT_BOND_TICKER</we:customFunctionIds>
        <we:customFunctionIds>_xldudf_WI_BONDMARKET_CBOND_AGREEMENT_ITEMS</we:customFunctionIds>
        <we:customFunctionIds>_xldudf_WI_BONDMARKET_CBOND_AGREEMENT_ISSUANCE_PURPOSE</we:customFunctionIds>
        <we:customFunctionIds>_xldudf_WI_BONDMARKET_CBOND_AGREEMENT_ISSUANCE_METHOD</we:customFunctionIds>
        <we:customFunctionIds>_xldudf_WI_BONDMARKET_CBOND_AGREEMENT_IS_EARLY_REDEMPTION</we:customFunctionIds>
        <we:customFunctionIds>_xldudf_WI_BONDMARKET_CBOND_REDEEMABLE_BOND</we:customFunctionIds>
        <we:customFunctionIds>_xldudf_WI_BONDMARKET_CBOND_REDEEMABLE_BOND_BOND_TICKER</we:customFunctionIds>
        <we:customFunctionIds>_xldudf_WI_BONDMARKET_CBOND_REDEEMABLE_BOND_TICKER</we:customFunctionIds>
        <we:customFunctionIds>_xldudf_WI_BONDMARKET_CBOND_REDEEMABLE_BOND_ITEMS</we:customFunctionIds>
        <we:customFunctionIds>_xldudf_WI_BONDMARKET_CBOND_REDEEMABLE_BOND_IS_VALID</we:customFunctionIds>
        <we:customFunctionIds>_xldudf_WI_BONDMARKET_CBOND_PAYMENT</we:customFunctionIds>
        <we:customFunctionIds>_xldudf_WI_BONDMARKET_CBOND_PAYMENT_BOND_TICKER</we:customFunctionIds>
        <we:customFunctionIds>_xldudf_WI_BONDMARKET_CBOND_PAYMENT_TICKER</we:customFunctionIds>
        <we:customFunctionIds>_xldudf_WI_BONDMARKET_CBOND_PAYMENT_ITEMS</we:customFunctionIds>
        <we:customFunctionIds>_xldudf_WI_BONDMARKET_CBOND_PAYMENT_IS_ON_TIME</we:customFunctionIds>
        <we:customFunctionIds>_xldudf_WI_BONDMARKET_CBOND_EVENT</we:customFunctionIds>
        <we:customFunctionIds>_xldudf_WI_BONDMARKET_CBOND_EVENT_BOND_TICKER</we:customFunctionIds>
        <we:customFunctionIds>_xldudf_WI_BONDMARKET_CBOND_EVENT_TICKER</we:customFunctionIds>
        <we:customFunctionIds>_xldudf_WI_BONDMARKET_CBOND_EVENT_NEWS_TYPE</we:customFunctionIds>
        <we:customFunctionIds>_xldudf_WI_SORT</we:customFunctionIds>
        <we:customFunctionIds>_xldudf_WI_JOIN</we:customFunctionIds>
        <we:customFunctionIds>_xldudf_WI_FILL_BLANK</we:customFunctionIds>
        <we:customFunctionIds>_xldudf_WI_COMPANY_FINANCIAL_RATIO_GENERAL</we:customFunctionIds>
        <we:customFunctionIds>_xldudf_WI_COMPANY_FINANCIAL_RATIO_GENERAL_ITEMS</we:customFunctionIds>
        <we:customFunctionIds>_xldudf_WI_COMPANY_FINANCIAL_RATIO_GENERAL_TICKER</we:customFunctionIds>
        <we:customFunctionIds>_xldudf_WI_COMPANY_FINANCIAL_RATIO_GENERAL_TICKER_COMPANYTYPE</we:customFunctionIds>
        <we:customFunctionIds>_xldudf_WI_COMPANY_FINANCIAL_RATIO_GENERAL_TICKER_EXCHANGE</we:customFunctionIds>
        <we:customFunctionIds>_xldudf_WI_COMPANY_FINANCIAL_RATIO_GENERAL_TICKER_SECTOR_LEVEL</we:customFunctionIds>
        <we:customFunctionIds>_xldudf_WI_COMPANY_FINANCIAL_RATIO_GENERAL_TICKER_SECTOR_ID</we:customFunctionIds>
        <we:customFunctionIds>_xldudf_WI_COMPANY_FINANCIAL_RATIO_GENERAL_TICKER_SECTOR_ID_SECTOR_LEVEL</we:customFunctionIds>
        <we:customFunctionIds>_xldudf_WI_COMPANY_FINANCIAL_RATIO_GENERAL_TYPE</we:customFunctionIds>
        <we:customFunctionIds>_xldudf_WI_SECTOR_FINANCIAL_RATIO_GENERAL</we:customFunctionIds>
        <we:customFunctionIds>_xldudf_WI_SECTOR_FINANCIAL_RATIO_GENERAL_SECTOR_LEVEL</we:customFunctionIds>
        <we:customFunctionIds>_xldudf_WI_SECTOR_FINANCIAL_RATIO_GENERAL_SECTOR_ID</we:customFunctionIds>
        <we:customFunctionIds>_xldudf_WI_SECTOR_FINANCIAL_RATIO_GENERAL_SECTOR_ID_SECTOR_LEVEL</we:customFunctionIds>
        <we:customFunctionIds>_xldudf_WI_SECTOR_FINANCIAL_RATIO_GENERAL_ITEMS</we:customFunctionIds>
        <we:customFunctionIds>_xldudf_WI_SECTOR_FINANCIAL_RATIO_GENERAL_TYPE</we:customFunctionIds>
        <we:customFunctionIds>_xldudf_WI_SECTOR_SECURITIES_ACCOUNTS</we:customFunctionIds>
        <we:customFunctionIds>_xldudf_WI_SECTOR_SECURITIES_ACCOUNTS_ITEMS</we:customFunctionIds>
        <we:customFunctionIds>_xldudf_WI_SECTOR_SECURITIES_ACCOUNTS_TYPE</we:customFunctionIds>
        <we:customFunctionIds>_xldudf_WI_REAL_ESTATE_COMMERCIAL_HOUSING</we:customFunctionIds>
        <we:customFunctionIds>_xldudf_WI_REAL_ESTATE_COMMERCIAL_HOUSING_ITEMS</we:customFunctionIds>
        <we:customFunctionIds>_xldudf_WI_REAL_ESTATE_COMMERCIAL_HOUSING_TYPE</we:customFunctionIds>
        <we:customFunctionIds>_xldudf_WI_REAL_ESTATE_COMMERCIAL_HOUSING_PROJECT</we:customFunctionIds>
        <we:customFunctionIds>_xldudf_WI_REAL_ESTATE_COMMERCIAL_HOUSING_PROJECT_ITEMS</we:customFunctionIds>
        <we:customFunctionIds>_xldudf_WI_REAL_ESTATE_COMMERCIAL_HOUSING_PROJECT_TYPE</we:customFunctionIds>
        <we:customFunctionIds>_xldudf_WI_REAL_ESTATE_SOCIAL_HOUSING</we:customFunctionIds>
        <we:customFunctionIds>_xldudf_WI_REAL_ESTATE_SOCIAL_HOUSING_ITEMS</we:customFunctionIds>
        <we:customFunctionIds>_xldudf_WI_REAL_ESTATE_SOCIAL_HOUSING_TYPE</we:customFunctionIds>
        <we:customFunctionIds>_xldudf_WI_REAL_ESTATE_SOCIAL_HOUSING_PROJECT</we:customFunctionIds>
        <we:customFunctionIds>_xldudf_WI_REAL_ESTATE_SOCIAL_HOUSING_PROJECT_ITEMS</we:customFunctionIds>
        <we:customFunctionIds>_xldudf_WI_REAL_ESTATE_SOCIAL_HOUSING_PROJECT_TYPE</we:customFunctionIds>
        <we:customFunctionIds>_xldudf_WI_REAL_ESTATE_MARKET_LIQUIDITY</we:customFunctionIds>
        <we:customFunctionIds>_xldudf_WI_REAL_ESTATE_MARKET_LIQUIDITY_ITEMS</we:customFunctionIds>
        <we:customFunctionIds>_xldudf_WI_REAL_ESTATE_MARKET_LIQUIDITY_TYPE</we:customFunctionIds>
        <we:customFunctionIds>_xldudf_WI_REAL_ESTATE_RESORT</we:customFunctionIds>
        <we:customFunctionIds>_xldudf_WI_REAL_ESTATE_RESORT_ITEMS</we:customFunctionIds>
        <we:customFunctionIds>_xldudf_WI_REAL_ESTATE_RESORT_TYPE</we:customFunctionIds>
        <we:customFunctionIds>_xldudf_WI_COMPANY_BANK_INTEREST_RATE_RISK</we:customFunctionIds>
        <we:customFunctionIds>_xldudf_WI_COMPANY_BANK_INTEREST_RATE_RISK_TICKER</we:customFunctionIds>
        <we:customFunctionIds>_xldudf_WI_COMPANY_BANK_INTEREST_RATE_RISK_TICKER_EXCHANGE</we:customFunctionIds>
        <we:customFunctionIds>_xldudf_WI_COMPANY_BANK_INTEREST_RATE_RISK_ATTRIBUTE</we:customFunctionIds>
        <we:customFunctionIds>_xldudf_WI_COMPANY_BANK_INTEREST_RATE_RISK_ITEMS</we:customFunctionIds>
        <we:customFunctionIds>_xldudf_WI_COMPANY_BANK_INTEREST_RATE_RISK_TYPE</we:customFunctionIds>
        <we:customFunctionIds>_xldudf_WI_COMPANY_BANK_LIQUIDITY_RISK</we:customFunctionIds>
        <we:customFunctionIds>_xldudf_WI_COMPANY_BANK_LIQUIDITY_RISK_TICKER</we:customFunctionIds>
        <we:customFunctionIds>_xldudf_WI_COMPANY_BANK_LIQUIDITY_RISK_TICKER_EXCHANGE</we:customFunctionIds>
        <we:customFunctionIds>_xldudf_WI_COMPANY_BANK_LIQUIDITY_RISK_ATTRIBUTE</we:customFunctionIds>
        <we:customFunctionIds>_xldudf_WI_COMPANY_BANK_LIQUIDITY_RISK_ITEMS</we:customFunctionIds>
        <we:customFunctionIds>_xldudf_WI_COMPANY_BANK_LIQUIDITY_RISK_TYPE</we:customFunctionIds>
        <we:customFunctionIds>_xldudf_WI_COMPANY_BANK_CAR</we:customFunctionIds>
        <we:customFunctionIds>_xldudf_WI_COMPANY_BANK_CAR_TICKER</we:customFunctionIds>
        <we:customFunctionIds>_xldudf_WI_COMPANY_BANK_CAR_TICKER_EXCHANGE</we:customFunctionIds>
        <we:customFunctionIds>_xldudf_WI_COMPANY_BANK_CAR_ITEMS</we:customFunctionIds>
        <we:customFunctionIds>_xldudf_WI_COMPANY_BANK_CAR_TYPE</we:customFunctionIds>
        <we:customFunctionIds>_xldudf_WI_COMPANY_BANK_CREDIT_RISK_ASSETS_BY_ASSET_TYPE</we:customFunctionIds>
        <we:customFunctionIds>_xldudf_WI_COMPANY_BANK_CREDIT_RISK_ASSETS_BY_ASSET_TYPE_TICKER</we:customFunctionIds>
        <we:customFunctionIds>_xldudf_WI_COMPANY_BANK_CREDIT_RISK_ASSETS_BY_ASSET_TYPE_TICKER_EXCHANGE</we:customFunctionIds>
        <we:customFunctionIds>_xldudf_WI_COMPANY_BANK_CREDIT_RISK_ASSETS_BY_ASSET_TYPE_ITEMS</we:customFunctionIds>
        <we:customFunctionIds>_xldudf_WI_COMPANY_BANK_CREDIT_RISK_ASSETS_BY_ASSET_TYPE_TYPE</we:customFunctionIds>
        <we:customFunctionIds>_xldudf_WI_COMPANY_BANK_CREDIT_RISK_ASSETS_BY_ASSET_RATING</we:customFunctionIds>
        <we:customFunctionIds>_xldudf_WI_COMPANY_BANK_CREDIT_RISK_ASSETS_BY_ASSET_RATING_TICKER</we:customFunctionIds>
        <we:customFunctionIds>_xldudf_WI_COMPANY_BANK_CREDIT_RISK_ASSETS_BY_ASSET_RATING_TICKER_EXCHANGE</we:customFunctionIds>
        <we:customFunctionIds>_xldudf_WI_COMPANY_BANK_CREDIT_RISK_ASSETS_BY_ASSET_RATING_ITEMS</we:customFunctionIds>
        <we:customFunctionIds>_xldudf_WI_COMPANY_BANK_CREDIT_RISK_ASSETS_BY_ASSET_RATING_TYPE</we:customFunctionIds>
        <we:customFunctionIds>_xldudf_WI_ELECTRICITY_GENERATION</we:customFunctionIds>
        <we:customFunctionIds>_xldudf_WI_ELECTRICITY_GENERATION_ITEMS</we:customFunctionIds>
        <we:customFunctionIds>_xldudf_WI_ELECTRICITY_GENERATION_TYPE</we:customFunctionIds>
        <we:customFunctionIds>_xldudf_WI_ELECTRICITY_MARKET</we:customFunctionIds>
        <we:customFunctionIds>_xldudf_WI_ELECTRICITY_MARKET_ITEMS</we:customFunctionIds>
        <we:customFunctionIds>_xldudf_WI_ELECTRICITY_MARKET_TYPE</we:customFunctionIds>
        <we:customFunctionIds>_xldudf_WI_MACRO_TRANSPORT_SEAPORT</we:customFunctionIds>
        <we:customFunctionIds>_xldudf_WI_MACRO_TRANSPORT_SEAPORT_ITEMS</we:customFunctionIds>
        <we:customFunctionIds>_xldudf_WI_MACRO_TRANSPORT_SEAPORT_TYPE</we:customFunctionIds>
        <we:customFunctionIds>_xldudf_WI_MACRO_TRANSPORT_SEAPORT_BY_COMMODITY</we:customFunctionIds>
        <we:customFunctionIds>_xldudf_WI_MACRO_TRANSPORT_SEAPORT_BY_COMMODITY_ITEMS</we:customFunctionIds>
        <we:customFunctionIds>_xldudf_WI_MACRO_TRANSPORT_SEAPORT_BY_COMMODITY_TYPE</we:customFunctionIds>
        <we:customFunctionIds>_xldudf_WI_MACRO_PAYMENT_DOMESTIC_TRANSACTION</we:customFunctionIds>
        <we:customFunctionIds>_xldudf_WI_MACRO_PAYMENT_DOMESTIC_TRANSACTION_ITEMS</we:customFunctionIds>
        <we:customFunctionIds>_xldudf_WI_MACRO_PAYMENT_DOMESTIC_TRANSACTION_TYPE</we:customFunctionIds>
        <we:customFunctionIds>_xldudf_WI_MACRO_PAYMENT_DOMESTIC_TRANSACTION_VALUE</we:customFunctionIds>
        <we:customFunctionIds>_xldudf_WI_MACRO_PAYMENT_DOMESTIC_TRANSACTION_VALUE_ITEMS</we:customFunctionIds>
        <we:customFunctionIds>_xldudf_WI_MACRO_PAYMENT_DOMESTIC_TRANSACTION_VALUE_TYPE</we:customFunctionIds>
        <we:customFunctionIds>_xldudf_WI_MACRO_PAYMENT_NATIONAL_SYSTEM</we:customFunctionIds>
        <we:customFunctionIds>_xldudf_WI_MACRO_PAYMENT_NATIONAL_SYSTEM_ITEMS</we:customFunctionIds>
        <we:customFunctionIds>_xldudf_WI_MACRO_PAYMENT_NATIONAL_SYSTEM_TYPE</we:customFunctionIds>
        <we:customFunctionIds>_xldudf_WI_MACRO_PAYMENT_INTERNET_AND_MOBILE_BANKING</we:customFunctionIds>
        <we:customFunctionIds>_xldudf_WI_MACRO_PAYMENT_INTERNET_AND_MOBILE_BANKING_ITEMS</we:customFunctionIds>
        <we:customFunctionIds>_xldudf_WI_MACRO_PAYMENT_INTERNET_AND_MOBILE_BANKING_TYPE</we:customFunctionIds>
        <we:customFunctionIds>_xldudf_WI_MACRO_PAYMENT_ATM_AND_POS</we:customFunctionIds>
        <we:customFunctionIds>_xldudf_WI_MACRO_PAYMENT_ATM_AND_POS_ITEMS</we:customFunctionIds>
        <we:customFunctionIds>_xldudf_WI_MACRO_PAYMENT_ATM_AND_POS_TYPE</we:customFunctionIds>
        <we:customFunctionIds>_xldudf_WI_MACRO_PAYMENT_PERSONAL_DEPOSIT</we:customFunctionIds>
        <we:customFunctionIds>_xldudf_WI_MACRO_PAYMENT_PERSONAL_DEPOSIT_ITEMS</we:customFunctionIds>
        <we:customFunctionIds>_xldudf_WI_MACRO_PAYMENT_PERSONAL_DEPOSIT_TYPE</we:customFunctionIds>
        <we:customFunctionIds>_xldudf_WI_MACRO_VISTOR_LOCAL</we:customFunctionIds>
        <we:customFunctionIds>_xldudf_WI_MACRO_VISTOR_LOCAL_ITEMS</we:customFunctionIds>
        <we:customFunctionIds>_xldudf_WI_MACRO_VISTOR_LOCAL_TYPE</we:customFunctionIds>
        <we:customFunctionIds>_xldudf_WI_MACRO_M0</we:customFunctionIds>
        <we:customFunctionIds>_xldudf_WI_MACRO_M0_TYPE</we:customFunctionIds>
        <we:customFunctionIds>_xldudf_WI_MACRO_BUSINESS_NEW_REGISTRATION</we:customFunctionIds>
        <we:customFunctionIds>_xldudf_WI_MACRO_BUSINESS_NEW_REGISTRATION_ITEMS</we:customFunctionIds>
        <we:customFunctionIds>_xldudf_WI_MACRO_BUSINESS_NEW_REGISTRATION_TYPE</we:customFunctionIds>
        <we:customFunctionIds>_xldudf_WI_MACRO_BUSINESS_NEW_REGISTERED_CAPITAL</we:customFunctionIds>
        <we:customFunctionIds>_xldudf_WI_MACRO_BUSINESS_NEW_REGISTERED_CAPITAL_ITEMS</we:customFunctionIds>
        <we:customFunctionIds>_xldudf_WI_MACRO_BUSINESS_NEW_REGISTERED_CAPITAL_TYPE</we:customFunctionIds>
        <we:customFunctionIds>_xldudf_WI_MACRO_BUSINESS_REOPENING_ACCUMULATION</we:customFunctionIds>
        <we:customFunctionIds>_xldudf_WI_MACRO_BUSINESS_REOPENING_ACCUMULATION_ITEMS</we:customFunctionIds>
        <we:customFunctionIds>_xldudf_WI_MACRO_BUSINESS_REOPENING_ACCUMULATION_TYPE</we:customFunctionIds>
        <we:customFunctionIds>_xldudf_WI_MACRO_BUSINESS_CESSATION_ACCUMULATION</we:customFunctionIds>
        <we:customFunctionIds>_xldudf_WI_MACRO_BUSINESS_CESSATION_ACCUMULATION_ITEMS</we:customFunctionIds>
        <we:customFunctionIds>_xldudf_WI_MACRO_BUSINESS_CESSATION_ACCUMULATION_TYPE</we:customFunctionIds>
        <we:customFunctionIds>_xldudf_WI_MACRO_BUSINESS_DISSOLUTION</we:customFunctionIds>
        <we:customFunctionIds>_xldudf_WI_MACRO_BUSINESS_DISSOLUTION_ITEMS</we:customFunctionIds>
        <we:customFunctionIds>_xldudf_WI_MACRO_BUSINESS_DISSOLUTION_TYPE</we:customFunctionIds>
        <we:customFunctionIds>_xldudf_WI_MACRO_BUSINESS_LABOR_REGISTRATION</we:customFunctionIds>
        <we:customFunctionIds>_xldudf_WI_MACRO_BUSINESS_LABOR_REGISTRATION_ITEMS</we:customFunctionIds>
        <we:customFunctionIds>_xldudf_WI_MACRO_BUSINESS_LABOR_REGISTRATION_TYPE</we:customFunctionIds>
        <we:customFunctionIds>_xldudf_WI_COMPANY_FINANCIAL_STATEMENT_PARENT</we:customFunctionIds>
        <we:customFunctionIds>_xldudf_WI_COMPANY_FINANCIAL_STATEMENT_PARENT_ITEMS</we:customFunctionIds>
        <we:customFunctionIds>_xldudf_WI_COMPANY_FINANCIAL_STATEMENT_PARENT_ITEMS_COMPANYTYPE</we:customFunctionIds>
        <we:customFunctionIds>_xldudf_WI_COMPANY_FINANCIAL_STATEMENT_PARENT_TICKER</we:customFunctionIds>
        <we:customFunctionIds>_xldudf_WI_COMPANY_FINANCIAL_STATEMENT_PARENT_TICKER_COMPANYTYPE</we:customFunctionIds>
        <we:customFunctionIds>_xldudf_WI_COMPANY_FINANCIAL_STATEMENT_PARENT_TICKER_EXCHANGE</we:customFunctionIds>
        <we:customFunctionIds>_xldudf_WI_COMPANY_FINANCIAL_STATEMENT_PARENT_TICKER_SECTOR_LEVEL</we:customFunctionIds>
        <we:customFunctionIds>_xldudf_WI_COMPANY_FINANCIAL_STATEMENT_PARENT_TICKER_SECTOR_ID</we:customFunctionIds>
        <we:customFunctionIds>_xldudf_WI_COMPANY_FINANCIAL_STATEMENT_PARENT_TICKER_SECTOR_ID_SECTOR_LEVEL</we:customFunctionIds>
        <we:customFunctionIds>_xldudf_WI_COMPANY_FINANCIAL_STATEMENT_PARENT_TYPE</we:customFunctionIds>
        <we:customFunctionIds>_xldudf_WI_COMPANY_FINANCIAL_RATIO_REALTIME</we:customFunctionIds>
        <we:customFunctionIds>_xldudf_WI_COMPANY_FINANCIAL_RATIO_REALTIME_ITEMS</we:customFunctionIds>
        <we:customFunctionIds>_xldudf_WI_COMPANY_FINANCIAL_RATIO_REALTIME_ITEMS_COMPANYTYPE</we:customFunctionIds>
        <we:customFunctionIds>_xldudf_WI_COMPANY_FINANCIAL_RATIO_REALTIME_TICKER</we:customFunctionIds>
        <we:customFunctionIds>_xldudf_WI_COMPANY_FINANCIAL_RATIO_REALTIME_TICKER_COMPANYTYPE</we:customFunctionIds>
        <we:customFunctionIds>_xldudf_WI_COMPANY_FINANCIAL_RATIO_REALTIME_TICKER_EXCHANGE</we:customFunctionIds>
        <we:customFunctionIds>_xldudf_WI_COMPANY_FINANCIAL_RATIO_REALTIME_TICKER_SECTOR_LEVEL</we:customFunctionIds>
        <we:customFunctionIds>_xldudf_WI_COMPANY_FINANCIAL_RATIO_REALTIME_TICKER_SECTOR_ID</we:customFunctionIds>
        <we:customFunctionIds>_xldudf_WI_COMPANY_FINANCIAL_RATIO_REALTIME_TICKER_SECTOR_ID_SECTOR_LEVEL</we:customFunctionIds>
        <we:customFunctionIds>_xldudf_WI_SECTOR_FINANCIAL_RATIO_REALTIME</we:customFunctionIds>
        <we:customFunctionIds>_xldudf_WI_SECTOR_FINANCIAL_RATIO_REALTIME_SECTOR_LEVEL</we:customFunctionIds>
        <we:customFunctionIds>_xldudf_WI_SECTOR_FINANCIAL_RATIO_REALTIME_SECTOR_ID</we:customFunctionIds>
        <we:customFunctionIds>_xldudf_WI_SECTOR_FINANCIAL_RATIO_REALTIME_SECTOR_ID_SECTOR_LEVEL</we:customFunctionIds>
        <we:customFunctionIds>_xldudf_WI_SECTOR_FINANCIAL_RATIO_REALTIME_ITEMS</we:customFunctionIds>
        <we:customFunctionIds>_xldudf_WI_MACRO_IMPORT_WEIGHT</we:customFunctionIds>
        <we:customFunctionIds>_xldudf_WI_MACRO_IMPORT_WEIGHT_ITEMS</we:customFunctionIds>
        <we:customFunctionIds>_xldudf_WI_MACRO_IMPORT_WEIGHT_TYPE</we:customFunctionIds>
        <we:customFunctionIds>_xldudf_WI_MACRO_EXPORT_WEIGHT</we:customFunctionIds>
        <we:customFunctionIds>_xldudf_WI_MACRO_EXPORT_WEIGHT_ITEMS</we:customFunctionIds>
        <we:customFunctionIds>_xldudf_WI_MACRO_EXPORT_WEIGHT_TYPE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4D64-D0DA-F94D-B773-A72AC4F6C509}">
  <sheetPr>
    <tabColor theme="0" tint="-0.14999847407452621"/>
  </sheetPr>
  <dimension ref="A1:S364"/>
  <sheetViews>
    <sheetView tabSelected="1" workbookViewId="0">
      <selection activeCell="B6" sqref="B6"/>
    </sheetView>
  </sheetViews>
  <sheetFormatPr defaultColWidth="10.796875" defaultRowHeight="15.6" x14ac:dyDescent="0.3"/>
  <cols>
    <col min="1" max="1" width="67.796875" style="185" customWidth="1"/>
    <col min="2" max="6" width="21.296875" style="185" bestFit="1" customWidth="1"/>
    <col min="7" max="8" width="10.796875" style="185"/>
    <col min="9" max="19" width="16.19921875" style="185" customWidth="1"/>
    <col min="20" max="16384" width="10.796875" style="185"/>
  </cols>
  <sheetData>
    <row r="1" spans="1:19" ht="34.950000000000003" customHeight="1" x14ac:dyDescent="0.3">
      <c r="A1" s="229" t="s">
        <v>0</v>
      </c>
      <c r="B1" s="229"/>
      <c r="C1" s="229"/>
      <c r="D1" s="229"/>
      <c r="E1" s="229"/>
      <c r="F1" s="229"/>
    </row>
    <row r="2" spans="1:19" ht="31.2" customHeight="1" x14ac:dyDescent="0.3">
      <c r="A2" s="186" t="s">
        <v>111</v>
      </c>
    </row>
    <row r="3" spans="1:19" ht="25.95" customHeight="1" x14ac:dyDescent="0.3">
      <c r="A3" s="187"/>
    </row>
    <row r="4" spans="1:19" x14ac:dyDescent="0.3">
      <c r="A4" s="230"/>
      <c r="B4" s="230"/>
      <c r="C4" s="230"/>
      <c r="D4" s="230"/>
      <c r="E4" s="230"/>
      <c r="F4" s="230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</row>
    <row r="5" spans="1:19" x14ac:dyDescent="0.3">
      <c r="A5" s="231" t="s">
        <v>110</v>
      </c>
      <c r="B5" s="189" t="s">
        <v>1</v>
      </c>
      <c r="C5" s="190" t="s">
        <v>4</v>
      </c>
      <c r="D5" s="191" t="s">
        <v>5</v>
      </c>
    </row>
    <row r="6" spans="1:19" ht="25.95" customHeight="1" x14ac:dyDescent="0.3">
      <c r="A6" s="231"/>
      <c r="B6" s="192" t="s">
        <v>109</v>
      </c>
      <c r="C6" s="192">
        <v>2023</v>
      </c>
      <c r="D6" s="192" t="s">
        <v>6</v>
      </c>
    </row>
    <row r="7" spans="1:19" ht="13.95" customHeight="1" x14ac:dyDescent="0.3">
      <c r="A7" s="193"/>
      <c r="B7" s="17"/>
      <c r="C7" s="17"/>
      <c r="D7" s="17"/>
      <c r="E7" s="17"/>
      <c r="F7" s="16"/>
      <c r="I7" s="194"/>
      <c r="J7" s="195"/>
      <c r="K7" s="195"/>
      <c r="L7" s="195"/>
      <c r="P7" s="195"/>
      <c r="Q7" s="195"/>
      <c r="R7" s="195"/>
    </row>
    <row r="8" spans="1:19" x14ac:dyDescent="0.3">
      <c r="A8" s="223" t="s">
        <v>3</v>
      </c>
      <c r="B8" s="222">
        <v>2019</v>
      </c>
      <c r="C8" s="222">
        <v>2020</v>
      </c>
      <c r="D8" s="222">
        <v>2021</v>
      </c>
      <c r="E8" s="222">
        <v>2022</v>
      </c>
      <c r="F8" s="222">
        <v>2023</v>
      </c>
      <c r="I8" s="188"/>
      <c r="J8" s="197"/>
      <c r="K8" s="198"/>
      <c r="L8" s="199"/>
      <c r="N8" s="188"/>
      <c r="O8" s="188"/>
      <c r="P8" s="197"/>
      <c r="Q8" s="198"/>
      <c r="R8" s="198"/>
    </row>
    <row r="9" spans="1:19" x14ac:dyDescent="0.3">
      <c r="A9" s="196" t="s">
        <v>112</v>
      </c>
      <c r="B9" s="201">
        <v>1222718.858</v>
      </c>
      <c r="C9" s="201">
        <v>1326230.0919999999</v>
      </c>
      <c r="D9" s="201">
        <v>1414672.5870000001</v>
      </c>
      <c r="E9" s="201">
        <v>1813815.17</v>
      </c>
      <c r="F9" s="201">
        <v>1839613.1980000001</v>
      </c>
      <c r="I9" s="188"/>
      <c r="J9" s="200"/>
      <c r="K9" s="198"/>
      <c r="L9" s="199"/>
      <c r="P9" s="200"/>
      <c r="Q9" s="198"/>
      <c r="R9" s="198"/>
    </row>
    <row r="10" spans="1:19" x14ac:dyDescent="0.3">
      <c r="A10" s="196" t="s">
        <v>113</v>
      </c>
      <c r="B10" s="201">
        <v>13778.358</v>
      </c>
      <c r="C10" s="201">
        <v>15095.394</v>
      </c>
      <c r="D10" s="201">
        <v>18011.766</v>
      </c>
      <c r="E10" s="201">
        <v>18348.534</v>
      </c>
      <c r="F10" s="201">
        <v>14504.849</v>
      </c>
      <c r="I10" s="188"/>
      <c r="J10" s="200"/>
      <c r="K10" s="198"/>
      <c r="L10" s="199"/>
      <c r="P10" s="200"/>
      <c r="Q10" s="198"/>
      <c r="R10" s="198"/>
    </row>
    <row r="11" spans="1:19" x14ac:dyDescent="0.3">
      <c r="A11" s="196" t="s">
        <v>114</v>
      </c>
      <c r="B11" s="201">
        <v>34684.091</v>
      </c>
      <c r="C11" s="201">
        <v>33139.373</v>
      </c>
      <c r="D11" s="201">
        <v>22506.710999999999</v>
      </c>
      <c r="E11" s="201">
        <v>92557.808999999994</v>
      </c>
      <c r="F11" s="201">
        <v>58104.502999999997</v>
      </c>
      <c r="I11" s="188"/>
      <c r="J11" s="200"/>
      <c r="K11" s="198"/>
      <c r="L11" s="199"/>
      <c r="P11" s="200"/>
      <c r="Q11" s="198"/>
      <c r="R11" s="198"/>
    </row>
    <row r="12" spans="1:19" x14ac:dyDescent="0.3">
      <c r="A12" s="196" t="s">
        <v>115</v>
      </c>
      <c r="B12" s="201">
        <v>249470.372</v>
      </c>
      <c r="C12" s="201">
        <v>267969.64500000002</v>
      </c>
      <c r="D12" s="201">
        <v>225764.546</v>
      </c>
      <c r="E12" s="201">
        <v>313637.44400000002</v>
      </c>
      <c r="F12" s="201">
        <v>336468.60700000002</v>
      </c>
      <c r="I12" s="188"/>
      <c r="J12" s="200"/>
      <c r="K12" s="198"/>
      <c r="L12" s="199"/>
      <c r="P12" s="200"/>
      <c r="Q12" s="198"/>
      <c r="R12" s="198"/>
    </row>
    <row r="13" spans="1:19" x14ac:dyDescent="0.3">
      <c r="A13" s="202" t="s">
        <v>116</v>
      </c>
      <c r="B13" s="203">
        <v>190100.329</v>
      </c>
      <c r="C13" s="203">
        <v>204713.783</v>
      </c>
      <c r="D13" s="203">
        <v>181036.981</v>
      </c>
      <c r="E13" s="203">
        <v>283727.71899999998</v>
      </c>
      <c r="F13" s="203">
        <v>312001.875</v>
      </c>
      <c r="I13" s="188"/>
      <c r="P13" s="200"/>
      <c r="Q13" s="198"/>
      <c r="R13" s="198"/>
    </row>
    <row r="14" spans="1:19" x14ac:dyDescent="0.3">
      <c r="A14" s="202" t="s">
        <v>117</v>
      </c>
      <c r="B14" s="203">
        <v>62370.042999999998</v>
      </c>
      <c r="C14" s="203">
        <v>64255.862000000001</v>
      </c>
      <c r="D14" s="203">
        <v>48727.565000000002</v>
      </c>
      <c r="E14" s="203">
        <v>40749.724999999999</v>
      </c>
      <c r="F14" s="203">
        <v>30175.706999999999</v>
      </c>
      <c r="I14" s="188"/>
    </row>
    <row r="15" spans="1:19" x14ac:dyDescent="0.3">
      <c r="A15" s="202" t="s">
        <v>118</v>
      </c>
      <c r="B15" s="203">
        <v>-3000</v>
      </c>
      <c r="C15" s="203">
        <v>-1000</v>
      </c>
      <c r="D15" s="203">
        <v>-4000</v>
      </c>
      <c r="E15" s="203">
        <v>-10840</v>
      </c>
      <c r="F15" s="203">
        <v>-5708.9750000000004</v>
      </c>
    </row>
    <row r="16" spans="1:19" x14ac:dyDescent="0.3">
      <c r="A16" s="196" t="s">
        <v>119</v>
      </c>
      <c r="B16" s="201">
        <v>1801.126</v>
      </c>
      <c r="C16" s="201">
        <v>1954.0609999999999</v>
      </c>
      <c r="D16" s="201">
        <v>2766.098</v>
      </c>
      <c r="E16" s="201">
        <v>1499.6869999999999</v>
      </c>
      <c r="F16" s="201">
        <v>2495.4079999999999</v>
      </c>
    </row>
    <row r="17" spans="1:18" x14ac:dyDescent="0.3">
      <c r="A17" s="202" t="s">
        <v>120</v>
      </c>
      <c r="B17" s="203">
        <v>1889.6279999999999</v>
      </c>
      <c r="C17" s="203">
        <v>1991.8610000000001</v>
      </c>
      <c r="D17" s="203">
        <v>2822.5309999999999</v>
      </c>
      <c r="E17" s="203">
        <v>1543.575</v>
      </c>
      <c r="F17" s="203">
        <v>2511.395</v>
      </c>
      <c r="I17" s="204"/>
      <c r="J17" s="205"/>
      <c r="K17" s="206"/>
      <c r="L17" s="207"/>
      <c r="M17" s="204"/>
      <c r="N17" s="204"/>
      <c r="O17" s="204"/>
      <c r="P17" s="204"/>
      <c r="Q17" s="204"/>
    </row>
    <row r="18" spans="1:18" x14ac:dyDescent="0.3">
      <c r="A18" s="202" t="s">
        <v>121</v>
      </c>
      <c r="B18" s="203">
        <v>-88.501999999999995</v>
      </c>
      <c r="C18" s="203">
        <v>-37.799999999999997</v>
      </c>
      <c r="D18" s="203">
        <v>-56.433</v>
      </c>
      <c r="E18" s="203">
        <v>-43.887999999999998</v>
      </c>
      <c r="F18" s="203">
        <v>-15.987</v>
      </c>
    </row>
    <row r="19" spans="1:18" x14ac:dyDescent="0.3">
      <c r="A19" s="196" t="s">
        <v>122</v>
      </c>
      <c r="B19" s="201">
        <v>98.311999999999998</v>
      </c>
      <c r="C19" s="201">
        <v>0</v>
      </c>
      <c r="D19" s="201">
        <v>303.202</v>
      </c>
      <c r="E19" s="201">
        <v>156.51499999999999</v>
      </c>
      <c r="F19" s="201">
        <v>0</v>
      </c>
    </row>
    <row r="20" spans="1:18" x14ac:dyDescent="0.3">
      <c r="A20" s="196" t="s">
        <v>123</v>
      </c>
      <c r="B20" s="201">
        <v>724290.10199999996</v>
      </c>
      <c r="C20" s="201">
        <v>820545.46699999995</v>
      </c>
      <c r="D20" s="201">
        <v>934774.28700000001</v>
      </c>
      <c r="E20" s="201">
        <v>1120286.8319999999</v>
      </c>
      <c r="F20" s="201">
        <v>1241675.3330000001</v>
      </c>
    </row>
    <row r="21" spans="1:18" x14ac:dyDescent="0.3">
      <c r="A21" s="202" t="s">
        <v>124</v>
      </c>
      <c r="B21" s="203">
        <v>734706.89099999995</v>
      </c>
      <c r="C21" s="203">
        <v>839788.26100000006</v>
      </c>
      <c r="D21" s="203">
        <v>960749.95499999996</v>
      </c>
      <c r="E21" s="203">
        <v>1145066.25</v>
      </c>
      <c r="F21" s="203">
        <v>1270359.0179999999</v>
      </c>
      <c r="I21" s="188"/>
      <c r="J21" s="200"/>
      <c r="K21" s="198"/>
      <c r="L21" s="198"/>
      <c r="N21" s="188"/>
      <c r="P21" s="200"/>
      <c r="Q21" s="208"/>
      <c r="R21" s="208"/>
    </row>
    <row r="22" spans="1:18" x14ac:dyDescent="0.3">
      <c r="A22" s="202" t="s">
        <v>125</v>
      </c>
      <c r="B22" s="203">
        <v>-10416.789000000001</v>
      </c>
      <c r="C22" s="203">
        <v>-19242.794000000002</v>
      </c>
      <c r="D22" s="203">
        <v>-25975.668000000001</v>
      </c>
      <c r="E22" s="203">
        <v>-24779.418000000001</v>
      </c>
      <c r="F22" s="203">
        <v>-28683.685000000001</v>
      </c>
      <c r="J22" s="200"/>
      <c r="K22" s="198"/>
      <c r="L22" s="198"/>
      <c r="P22" s="200"/>
      <c r="Q22" s="208"/>
      <c r="R22" s="208"/>
    </row>
    <row r="23" spans="1:18" x14ac:dyDescent="0.3">
      <c r="A23" s="196" t="s">
        <v>126</v>
      </c>
      <c r="B23" s="201">
        <v>167529.68900000001</v>
      </c>
      <c r="C23" s="201">
        <v>156931.09700000001</v>
      </c>
      <c r="D23" s="201">
        <v>170604.7</v>
      </c>
      <c r="E23" s="201">
        <v>196171.21299999999</v>
      </c>
      <c r="F23" s="201">
        <v>145780.06700000001</v>
      </c>
      <c r="J23" s="200"/>
      <c r="K23" s="198"/>
      <c r="L23" s="198"/>
      <c r="P23" s="200"/>
      <c r="Q23" s="208"/>
      <c r="R23" s="208"/>
    </row>
    <row r="24" spans="1:18" x14ac:dyDescent="0.3">
      <c r="A24" s="202" t="s">
        <v>127</v>
      </c>
      <c r="B24" s="203">
        <v>35699.089999999997</v>
      </c>
      <c r="C24" s="203">
        <v>42148.830999999998</v>
      </c>
      <c r="D24" s="203">
        <v>71122.501999999993</v>
      </c>
      <c r="E24" s="203">
        <v>100739.67</v>
      </c>
      <c r="F24" s="203">
        <v>67882.48</v>
      </c>
    </row>
    <row r="25" spans="1:18" x14ac:dyDescent="0.3">
      <c r="A25" s="202" t="s">
        <v>128</v>
      </c>
      <c r="B25" s="203">
        <v>132271.302</v>
      </c>
      <c r="C25" s="203">
        <v>115382.54399999999</v>
      </c>
      <c r="D25" s="203">
        <v>99657.595000000001</v>
      </c>
      <c r="E25" s="203">
        <v>95513.376000000004</v>
      </c>
      <c r="F25" s="203">
        <v>78009.747000000003</v>
      </c>
    </row>
    <row r="26" spans="1:18" x14ac:dyDescent="0.3">
      <c r="A26" s="202" t="s">
        <v>129</v>
      </c>
      <c r="B26" s="203">
        <v>-440.70299999999997</v>
      </c>
      <c r="C26" s="203">
        <v>-600.27800000000002</v>
      </c>
      <c r="D26" s="203">
        <v>-175.39699999999999</v>
      </c>
      <c r="E26" s="203">
        <v>-81.832999999999998</v>
      </c>
      <c r="F26" s="203">
        <v>-112.16</v>
      </c>
    </row>
    <row r="27" spans="1:18" x14ac:dyDescent="0.3">
      <c r="A27" s="196" t="s">
        <v>130</v>
      </c>
      <c r="B27" s="201">
        <v>2464.4929999999999</v>
      </c>
      <c r="C27" s="201">
        <v>2239.0059999999999</v>
      </c>
      <c r="D27" s="201">
        <v>2346.1759999999999</v>
      </c>
      <c r="E27" s="201">
        <v>2193.5349999999999</v>
      </c>
      <c r="F27" s="201">
        <v>2224.9450000000002</v>
      </c>
      <c r="I27" s="204"/>
      <c r="J27" s="205"/>
      <c r="K27" s="206"/>
      <c r="L27" s="207"/>
    </row>
    <row r="28" spans="1:18" x14ac:dyDescent="0.3">
      <c r="A28" s="202" t="s">
        <v>131</v>
      </c>
      <c r="B28" s="203">
        <v>0</v>
      </c>
      <c r="C28" s="203">
        <v>0</v>
      </c>
      <c r="D28" s="203">
        <v>0</v>
      </c>
      <c r="E28" s="203">
        <v>0</v>
      </c>
      <c r="F28" s="203">
        <v>0</v>
      </c>
    </row>
    <row r="29" spans="1:18" x14ac:dyDescent="0.3">
      <c r="A29" s="202" t="s">
        <v>132</v>
      </c>
      <c r="B29" s="203">
        <v>951.67</v>
      </c>
      <c r="C29" s="203">
        <v>726.18299999999999</v>
      </c>
      <c r="D29" s="203">
        <v>759.71500000000003</v>
      </c>
      <c r="E29" s="203">
        <v>782.38900000000001</v>
      </c>
      <c r="F29" s="203">
        <v>838.22500000000002</v>
      </c>
    </row>
    <row r="30" spans="1:18" x14ac:dyDescent="0.3">
      <c r="A30" s="202" t="s">
        <v>133</v>
      </c>
      <c r="B30" s="203">
        <v>1587.8230000000001</v>
      </c>
      <c r="C30" s="203">
        <v>1587.8230000000001</v>
      </c>
      <c r="D30" s="203">
        <v>1661.461</v>
      </c>
      <c r="E30" s="203">
        <v>1529.145</v>
      </c>
      <c r="F30" s="203">
        <v>1529.145</v>
      </c>
    </row>
    <row r="31" spans="1:18" x14ac:dyDescent="0.3">
      <c r="A31" s="202" t="s">
        <v>134</v>
      </c>
      <c r="B31" s="203">
        <v>-75</v>
      </c>
      <c r="C31" s="203">
        <v>-75</v>
      </c>
      <c r="D31" s="203">
        <v>-75</v>
      </c>
      <c r="E31" s="203">
        <v>-117.999</v>
      </c>
      <c r="F31" s="203">
        <v>-142.42500000000001</v>
      </c>
    </row>
    <row r="32" spans="1:18" x14ac:dyDescent="0.3">
      <c r="A32" s="196" t="s">
        <v>135</v>
      </c>
      <c r="B32" s="201">
        <v>6710.4430000000002</v>
      </c>
      <c r="C32" s="201">
        <v>8539.3619999999992</v>
      </c>
      <c r="D32" s="201">
        <v>8626.0429999999997</v>
      </c>
      <c r="E32" s="201">
        <v>7985.4</v>
      </c>
      <c r="F32" s="201">
        <v>7708.1809999999996</v>
      </c>
    </row>
    <row r="33" spans="1:6" x14ac:dyDescent="0.3">
      <c r="A33" s="202" t="s">
        <v>136</v>
      </c>
      <c r="B33" s="203">
        <v>4449.6490000000003</v>
      </c>
      <c r="C33" s="203">
        <v>5411.1390000000001</v>
      </c>
      <c r="D33" s="203">
        <v>5552.6239999999998</v>
      </c>
      <c r="E33" s="203">
        <v>5170.0829999999996</v>
      </c>
      <c r="F33" s="203">
        <v>5115.6120000000001</v>
      </c>
    </row>
    <row r="34" spans="1:6" x14ac:dyDescent="0.3">
      <c r="A34" s="202" t="s">
        <v>137</v>
      </c>
      <c r="B34" s="203">
        <v>11161.239</v>
      </c>
      <c r="C34" s="203">
        <v>12866.189</v>
      </c>
      <c r="D34" s="203">
        <v>13725.16</v>
      </c>
      <c r="E34" s="203">
        <v>13950.174000000001</v>
      </c>
      <c r="F34" s="203">
        <v>14714.588</v>
      </c>
    </row>
    <row r="35" spans="1:6" x14ac:dyDescent="0.3">
      <c r="A35" s="202" t="s">
        <v>138</v>
      </c>
      <c r="B35" s="203">
        <v>-6711.59</v>
      </c>
      <c r="C35" s="203">
        <v>-7455.05</v>
      </c>
      <c r="D35" s="203">
        <v>-8172.5360000000001</v>
      </c>
      <c r="E35" s="203">
        <v>-8780.0910000000003</v>
      </c>
      <c r="F35" s="203">
        <v>-9598.9760000000006</v>
      </c>
    </row>
    <row r="36" spans="1:6" x14ac:dyDescent="0.3">
      <c r="A36" s="202" t="s">
        <v>139</v>
      </c>
      <c r="B36" s="203">
        <v>0</v>
      </c>
      <c r="C36" s="203">
        <v>0</v>
      </c>
      <c r="D36" s="203">
        <v>0</v>
      </c>
      <c r="E36" s="203">
        <v>0</v>
      </c>
      <c r="F36" s="203">
        <v>0</v>
      </c>
    </row>
    <row r="37" spans="1:6" x14ac:dyDescent="0.3">
      <c r="A37" s="202" t="s">
        <v>137</v>
      </c>
      <c r="B37" s="203">
        <v>0</v>
      </c>
      <c r="C37" s="203">
        <v>0</v>
      </c>
      <c r="D37" s="203">
        <v>0</v>
      </c>
      <c r="E37" s="203">
        <v>0</v>
      </c>
      <c r="F37" s="203">
        <v>0</v>
      </c>
    </row>
    <row r="38" spans="1:6" x14ac:dyDescent="0.3">
      <c r="A38" s="202" t="s">
        <v>138</v>
      </c>
      <c r="B38" s="203">
        <v>0</v>
      </c>
      <c r="C38" s="203">
        <v>0</v>
      </c>
      <c r="D38" s="203">
        <v>0</v>
      </c>
      <c r="E38" s="203">
        <v>0</v>
      </c>
      <c r="F38" s="203">
        <v>0</v>
      </c>
    </row>
    <row r="39" spans="1:6" x14ac:dyDescent="0.3">
      <c r="A39" s="202" t="s">
        <v>140</v>
      </c>
      <c r="B39" s="203">
        <v>2260.7939999999999</v>
      </c>
      <c r="C39" s="203">
        <v>3128.223</v>
      </c>
      <c r="D39" s="203">
        <v>3073.4189999999999</v>
      </c>
      <c r="E39" s="203">
        <v>2815.317</v>
      </c>
      <c r="F39" s="203">
        <v>2592.569</v>
      </c>
    </row>
    <row r="40" spans="1:6" x14ac:dyDescent="0.3">
      <c r="A40" s="202" t="s">
        <v>137</v>
      </c>
      <c r="B40" s="203">
        <v>3050.6689999999999</v>
      </c>
      <c r="C40" s="203">
        <v>4211.88</v>
      </c>
      <c r="D40" s="203">
        <v>4622.2290000000003</v>
      </c>
      <c r="E40" s="203">
        <v>4789.0889999999999</v>
      </c>
      <c r="F40" s="203">
        <v>4906.8810000000003</v>
      </c>
    </row>
    <row r="41" spans="1:6" x14ac:dyDescent="0.3">
      <c r="A41" s="202" t="s">
        <v>138</v>
      </c>
      <c r="B41" s="203">
        <v>-789.875</v>
      </c>
      <c r="C41" s="203">
        <v>-1083.6569999999999</v>
      </c>
      <c r="D41" s="203">
        <v>-1548.81</v>
      </c>
      <c r="E41" s="203">
        <v>-1973.7719999999999</v>
      </c>
      <c r="F41" s="203">
        <v>-2314.3119999999999</v>
      </c>
    </row>
    <row r="42" spans="1:6" x14ac:dyDescent="0.3">
      <c r="A42" s="196" t="s">
        <v>141</v>
      </c>
      <c r="B42" s="201">
        <v>0</v>
      </c>
      <c r="C42" s="201">
        <v>0</v>
      </c>
      <c r="D42" s="201">
        <v>0</v>
      </c>
      <c r="E42" s="201">
        <v>0</v>
      </c>
      <c r="F42" s="201">
        <v>0</v>
      </c>
    </row>
    <row r="43" spans="1:6" x14ac:dyDescent="0.3">
      <c r="A43" s="202" t="s">
        <v>142</v>
      </c>
      <c r="B43" s="203">
        <v>0</v>
      </c>
      <c r="C43" s="203">
        <v>0</v>
      </c>
      <c r="D43" s="203">
        <v>0</v>
      </c>
      <c r="E43" s="203">
        <v>0</v>
      </c>
      <c r="F43" s="203">
        <v>0</v>
      </c>
    </row>
    <row r="44" spans="1:6" x14ac:dyDescent="0.3">
      <c r="A44" s="202" t="s">
        <v>143</v>
      </c>
      <c r="B44" s="203">
        <v>0</v>
      </c>
      <c r="C44" s="203">
        <v>0</v>
      </c>
      <c r="D44" s="203">
        <v>0</v>
      </c>
      <c r="E44" s="203">
        <v>0</v>
      </c>
      <c r="F44" s="203">
        <v>0</v>
      </c>
    </row>
    <row r="45" spans="1:6" x14ac:dyDescent="0.3">
      <c r="A45" s="196" t="s">
        <v>144</v>
      </c>
      <c r="B45" s="201">
        <v>21891.871999999999</v>
      </c>
      <c r="C45" s="201">
        <v>19816.687000000002</v>
      </c>
      <c r="D45" s="201">
        <v>28969.058000000001</v>
      </c>
      <c r="E45" s="201">
        <v>60978.201000000001</v>
      </c>
      <c r="F45" s="201">
        <v>30651.305</v>
      </c>
    </row>
    <row r="46" spans="1:6" x14ac:dyDescent="0.3">
      <c r="A46" s="202" t="s">
        <v>145</v>
      </c>
      <c r="B46" s="203">
        <v>8829.375</v>
      </c>
      <c r="C46" s="203">
        <v>6668.5950000000003</v>
      </c>
      <c r="D46" s="203">
        <v>15796.141</v>
      </c>
      <c r="E46" s="203">
        <v>24483.405999999999</v>
      </c>
      <c r="F46" s="203">
        <v>11790.173000000001</v>
      </c>
    </row>
    <row r="47" spans="1:6" x14ac:dyDescent="0.3">
      <c r="A47" s="202" t="s">
        <v>146</v>
      </c>
      <c r="B47" s="203">
        <v>8150.1559999999999</v>
      </c>
      <c r="C47" s="203">
        <v>7206.125</v>
      </c>
      <c r="D47" s="203">
        <v>7149.3130000000001</v>
      </c>
      <c r="E47" s="203">
        <v>9209.1209999999992</v>
      </c>
      <c r="F47" s="203">
        <v>9200.0220000000008</v>
      </c>
    </row>
    <row r="48" spans="1:6" x14ac:dyDescent="0.3">
      <c r="A48" s="202" t="s">
        <v>147</v>
      </c>
      <c r="B48" s="203">
        <v>0</v>
      </c>
      <c r="C48" s="203">
        <v>909.26300000000003</v>
      </c>
      <c r="D48" s="203">
        <v>7.1369999999999996</v>
      </c>
      <c r="E48" s="203">
        <v>958.06500000000005</v>
      </c>
      <c r="F48" s="203">
        <v>848.26800000000003</v>
      </c>
    </row>
    <row r="49" spans="1:6" x14ac:dyDescent="0.3">
      <c r="A49" s="202" t="s">
        <v>148</v>
      </c>
      <c r="B49" s="203">
        <v>4916.1350000000002</v>
      </c>
      <c r="C49" s="203">
        <v>5036.6379999999999</v>
      </c>
      <c r="D49" s="203">
        <v>6020.4870000000001</v>
      </c>
      <c r="E49" s="203">
        <v>26339.829000000002</v>
      </c>
      <c r="F49" s="203">
        <v>8828.3050000000003</v>
      </c>
    </row>
    <row r="50" spans="1:6" x14ac:dyDescent="0.3">
      <c r="A50" s="202" t="s">
        <v>149</v>
      </c>
      <c r="B50" s="203">
        <v>-3.794</v>
      </c>
      <c r="C50" s="203">
        <v>-3.9340000000000002</v>
      </c>
      <c r="D50" s="203">
        <v>-4.0199999999999996</v>
      </c>
      <c r="E50" s="203">
        <v>-12.22</v>
      </c>
      <c r="F50" s="203">
        <v>-15.462999999999999</v>
      </c>
    </row>
    <row r="51" spans="1:6" x14ac:dyDescent="0.3">
      <c r="A51" s="196" t="s">
        <v>150</v>
      </c>
      <c r="B51" s="201">
        <v>1141835.8759999999</v>
      </c>
      <c r="C51" s="201">
        <v>1232135.1129999999</v>
      </c>
      <c r="D51" s="201">
        <v>1305555.1939999999</v>
      </c>
      <c r="E51" s="201">
        <v>1678169.085</v>
      </c>
      <c r="F51" s="201">
        <v>1674600.5319999999</v>
      </c>
    </row>
    <row r="52" spans="1:6" x14ac:dyDescent="0.3">
      <c r="A52" s="196" t="s">
        <v>151</v>
      </c>
      <c r="B52" s="201">
        <v>92365.805999999997</v>
      </c>
      <c r="C52" s="201">
        <v>41176.995000000003</v>
      </c>
      <c r="D52" s="201">
        <v>9468.116</v>
      </c>
      <c r="E52" s="201">
        <v>67314.816000000006</v>
      </c>
      <c r="F52" s="201">
        <v>1670.837</v>
      </c>
    </row>
    <row r="53" spans="1:6" x14ac:dyDescent="0.3">
      <c r="A53" s="196" t="s">
        <v>152</v>
      </c>
      <c r="B53" s="201">
        <v>73617.085000000006</v>
      </c>
      <c r="C53" s="201">
        <v>103583.833</v>
      </c>
      <c r="D53" s="201">
        <v>109757.777</v>
      </c>
      <c r="E53" s="201">
        <v>232510.85</v>
      </c>
      <c r="F53" s="201">
        <v>213838.98</v>
      </c>
    </row>
    <row r="54" spans="1:6" x14ac:dyDescent="0.3">
      <c r="A54" s="202" t="s">
        <v>153</v>
      </c>
      <c r="B54" s="203">
        <v>71046.512000000002</v>
      </c>
      <c r="C54" s="203">
        <v>100916.433</v>
      </c>
      <c r="D54" s="203">
        <v>104043.817</v>
      </c>
      <c r="E54" s="203">
        <v>222040.58499999999</v>
      </c>
      <c r="F54" s="203">
        <v>193963.21799999999</v>
      </c>
    </row>
    <row r="55" spans="1:6" x14ac:dyDescent="0.3">
      <c r="A55" s="202" t="s">
        <v>154</v>
      </c>
      <c r="B55" s="203">
        <v>2570.5729999999999</v>
      </c>
      <c r="C55" s="203">
        <v>2667.4</v>
      </c>
      <c r="D55" s="203">
        <v>5713.96</v>
      </c>
      <c r="E55" s="203">
        <v>10470.264999999999</v>
      </c>
      <c r="F55" s="203">
        <v>19875.761999999999</v>
      </c>
    </row>
    <row r="56" spans="1:6" x14ac:dyDescent="0.3">
      <c r="A56" s="196" t="s">
        <v>155</v>
      </c>
      <c r="B56" s="201">
        <v>928450.86899999995</v>
      </c>
      <c r="C56" s="201">
        <v>1032113.567</v>
      </c>
      <c r="D56" s="201">
        <v>1135323.9129999999</v>
      </c>
      <c r="E56" s="201">
        <v>1243468.4709999999</v>
      </c>
      <c r="F56" s="201">
        <v>1395697.611</v>
      </c>
    </row>
    <row r="57" spans="1:6" x14ac:dyDescent="0.3">
      <c r="A57" s="196" t="s">
        <v>156</v>
      </c>
      <c r="B57" s="201">
        <v>0</v>
      </c>
      <c r="C57" s="201">
        <v>52.030999999999999</v>
      </c>
      <c r="D57" s="201">
        <v>0</v>
      </c>
      <c r="E57" s="201">
        <v>0</v>
      </c>
      <c r="F57" s="201">
        <v>117.752</v>
      </c>
    </row>
    <row r="58" spans="1:6" x14ac:dyDescent="0.3">
      <c r="A58" s="196" t="s">
        <v>157</v>
      </c>
      <c r="B58" s="201">
        <v>20.431000000000001</v>
      </c>
      <c r="C58" s="201">
        <v>14.679</v>
      </c>
      <c r="D58" s="201">
        <v>7.7069999999999999</v>
      </c>
      <c r="E58" s="201">
        <v>3.298</v>
      </c>
      <c r="F58" s="201">
        <v>0.36499999999999999</v>
      </c>
    </row>
    <row r="59" spans="1:6" x14ac:dyDescent="0.3">
      <c r="A59" s="196" t="s">
        <v>158</v>
      </c>
      <c r="B59" s="201">
        <v>21383.932000000001</v>
      </c>
      <c r="C59" s="201">
        <v>21240.197</v>
      </c>
      <c r="D59" s="201">
        <v>17387.746999999999</v>
      </c>
      <c r="E59" s="201">
        <v>25337.894</v>
      </c>
      <c r="F59" s="201">
        <v>19912.623</v>
      </c>
    </row>
    <row r="60" spans="1:6" x14ac:dyDescent="0.3">
      <c r="A60" s="196" t="s">
        <v>159</v>
      </c>
      <c r="B60" s="201">
        <v>25997.753000000001</v>
      </c>
      <c r="C60" s="201">
        <v>33953.811000000002</v>
      </c>
      <c r="D60" s="201">
        <v>33609.934000000001</v>
      </c>
      <c r="E60" s="201">
        <v>109533.75599999999</v>
      </c>
      <c r="F60" s="201">
        <v>43362.364000000001</v>
      </c>
    </row>
    <row r="61" spans="1:6" x14ac:dyDescent="0.3">
      <c r="A61" s="202" t="s">
        <v>160</v>
      </c>
      <c r="B61" s="203">
        <v>10382.357</v>
      </c>
      <c r="C61" s="203">
        <v>9797.8340000000007</v>
      </c>
      <c r="D61" s="203">
        <v>9326.3340000000007</v>
      </c>
      <c r="E61" s="203">
        <v>12485.332</v>
      </c>
      <c r="F61" s="203">
        <v>19527.027999999998</v>
      </c>
    </row>
    <row r="62" spans="1:6" x14ac:dyDescent="0.3">
      <c r="A62" s="202" t="s">
        <v>161</v>
      </c>
      <c r="B62" s="203">
        <v>15593.373</v>
      </c>
      <c r="C62" s="203">
        <v>24155.976999999999</v>
      </c>
      <c r="D62" s="203">
        <v>24283.599999999999</v>
      </c>
      <c r="E62" s="203">
        <v>97048.423999999999</v>
      </c>
      <c r="F62" s="203">
        <v>23835.335999999999</v>
      </c>
    </row>
    <row r="63" spans="1:6" x14ac:dyDescent="0.3">
      <c r="A63" s="202" t="s">
        <v>162</v>
      </c>
      <c r="B63" s="203">
        <v>0</v>
      </c>
      <c r="C63" s="203">
        <v>0</v>
      </c>
      <c r="D63" s="203">
        <v>0</v>
      </c>
      <c r="E63" s="203">
        <v>0</v>
      </c>
      <c r="F63" s="203">
        <v>0</v>
      </c>
    </row>
    <row r="64" spans="1:6" x14ac:dyDescent="0.3">
      <c r="A64" s="202" t="s">
        <v>163</v>
      </c>
      <c r="B64" s="203">
        <v>0</v>
      </c>
      <c r="C64" s="203">
        <v>0</v>
      </c>
      <c r="D64" s="203">
        <v>0</v>
      </c>
      <c r="E64" s="203">
        <v>0</v>
      </c>
      <c r="F64" s="203">
        <v>0</v>
      </c>
    </row>
    <row r="65" spans="1:6" x14ac:dyDescent="0.3">
      <c r="A65" s="202" t="s">
        <v>164</v>
      </c>
      <c r="B65" s="203">
        <v>22.023</v>
      </c>
      <c r="C65" s="203">
        <v>0</v>
      </c>
      <c r="D65" s="203">
        <v>0</v>
      </c>
      <c r="E65" s="203">
        <v>0</v>
      </c>
      <c r="F65" s="203">
        <v>0</v>
      </c>
    </row>
    <row r="66" spans="1:6" s="188" customFormat="1" x14ac:dyDescent="0.3">
      <c r="A66" s="196" t="s">
        <v>165</v>
      </c>
      <c r="B66" s="201">
        <v>80882.982000000004</v>
      </c>
      <c r="C66" s="201">
        <v>94094.979000000007</v>
      </c>
      <c r="D66" s="201">
        <v>109117.393</v>
      </c>
      <c r="E66" s="201">
        <v>135646.08499999999</v>
      </c>
      <c r="F66" s="201">
        <v>165012.666</v>
      </c>
    </row>
    <row r="67" spans="1:6" s="188" customFormat="1" x14ac:dyDescent="0.3">
      <c r="A67" s="196" t="s">
        <v>166</v>
      </c>
      <c r="B67" s="201">
        <v>42428.82</v>
      </c>
      <c r="C67" s="201">
        <v>42428.821000000004</v>
      </c>
      <c r="D67" s="201">
        <v>42428.821000000004</v>
      </c>
      <c r="E67" s="201">
        <v>53130.392</v>
      </c>
      <c r="F67" s="201">
        <v>61696.139000000003</v>
      </c>
    </row>
    <row r="68" spans="1:6" x14ac:dyDescent="0.3">
      <c r="A68" s="202" t="s">
        <v>167</v>
      </c>
      <c r="B68" s="203">
        <v>37088.773999999998</v>
      </c>
      <c r="C68" s="203">
        <v>37088.773999999998</v>
      </c>
      <c r="D68" s="203">
        <v>37088.773999999998</v>
      </c>
      <c r="E68" s="203">
        <v>47325.165999999997</v>
      </c>
      <c r="F68" s="203">
        <v>55890.913</v>
      </c>
    </row>
    <row r="69" spans="1:6" x14ac:dyDescent="0.3">
      <c r="A69" s="202" t="s">
        <v>168</v>
      </c>
      <c r="B69" s="203">
        <v>0</v>
      </c>
      <c r="C69" s="203">
        <v>0</v>
      </c>
      <c r="D69" s="203">
        <v>0</v>
      </c>
      <c r="E69" s="203">
        <v>0</v>
      </c>
      <c r="F69" s="203">
        <v>0</v>
      </c>
    </row>
    <row r="70" spans="1:6" x14ac:dyDescent="0.3">
      <c r="A70" s="202" t="s">
        <v>169</v>
      </c>
      <c r="B70" s="203">
        <v>4995.3890000000001</v>
      </c>
      <c r="C70" s="203">
        <v>4995.3890000000001</v>
      </c>
      <c r="D70" s="203">
        <v>4995.3890000000001</v>
      </c>
      <c r="E70" s="203">
        <v>4995.3890000000001</v>
      </c>
      <c r="F70" s="203">
        <v>4995.3890000000001</v>
      </c>
    </row>
    <row r="71" spans="1:6" x14ac:dyDescent="0.3">
      <c r="A71" s="202" t="s">
        <v>170</v>
      </c>
      <c r="B71" s="203">
        <v>0</v>
      </c>
      <c r="C71" s="203">
        <v>0</v>
      </c>
      <c r="D71" s="203">
        <v>0</v>
      </c>
      <c r="E71" s="203">
        <v>0</v>
      </c>
      <c r="F71" s="203">
        <v>0</v>
      </c>
    </row>
    <row r="72" spans="1:6" x14ac:dyDescent="0.3">
      <c r="A72" s="202" t="s">
        <v>171</v>
      </c>
      <c r="B72" s="203">
        <v>0</v>
      </c>
      <c r="C72" s="203">
        <v>0</v>
      </c>
      <c r="D72" s="203">
        <v>0</v>
      </c>
      <c r="E72" s="203">
        <v>0</v>
      </c>
      <c r="F72" s="203">
        <v>0</v>
      </c>
    </row>
    <row r="73" spans="1:6" x14ac:dyDescent="0.3">
      <c r="A73" s="202" t="s">
        <v>172</v>
      </c>
      <c r="B73" s="203">
        <v>344.65699999999998</v>
      </c>
      <c r="C73" s="203">
        <v>344.65800000000002</v>
      </c>
      <c r="D73" s="203">
        <v>344.65800000000002</v>
      </c>
      <c r="E73" s="203">
        <v>809.83699999999999</v>
      </c>
      <c r="F73" s="203">
        <v>809.83699999999999</v>
      </c>
    </row>
    <row r="74" spans="1:6" x14ac:dyDescent="0.3">
      <c r="A74" s="196" t="s">
        <v>173</v>
      </c>
      <c r="B74" s="201">
        <v>12186.141</v>
      </c>
      <c r="C74" s="201">
        <v>14925.803</v>
      </c>
      <c r="D74" s="201">
        <v>18173.067999999999</v>
      </c>
      <c r="E74" s="201">
        <v>22556.957999999999</v>
      </c>
      <c r="F74" s="201">
        <v>27447.116000000002</v>
      </c>
    </row>
    <row r="75" spans="1:6" x14ac:dyDescent="0.3">
      <c r="A75" s="196" t="s">
        <v>174</v>
      </c>
      <c r="B75" s="201">
        <v>113.011</v>
      </c>
      <c r="C75" s="201">
        <v>0</v>
      </c>
      <c r="D75" s="201">
        <v>0</v>
      </c>
      <c r="E75" s="201">
        <v>0</v>
      </c>
      <c r="F75" s="201">
        <v>0</v>
      </c>
    </row>
    <row r="76" spans="1:6" x14ac:dyDescent="0.3">
      <c r="A76" s="196" t="s">
        <v>175</v>
      </c>
      <c r="B76" s="201">
        <v>16.361000000000001</v>
      </c>
      <c r="C76" s="201">
        <v>5.1029999999999998</v>
      </c>
      <c r="D76" s="201">
        <v>-5.109</v>
      </c>
      <c r="E76" s="201">
        <v>-863.07100000000003</v>
      </c>
      <c r="F76" s="201">
        <v>-983.23699999999997</v>
      </c>
    </row>
    <row r="77" spans="1:6" x14ac:dyDescent="0.3">
      <c r="A77" s="196" t="s">
        <v>176</v>
      </c>
      <c r="B77" s="201">
        <v>26055.19</v>
      </c>
      <c r="C77" s="201">
        <v>36650.228000000003</v>
      </c>
      <c r="D77" s="201">
        <v>48433.5</v>
      </c>
      <c r="E77" s="201">
        <v>60733.423000000003</v>
      </c>
      <c r="F77" s="201">
        <v>76758.657999999996</v>
      </c>
    </row>
    <row r="78" spans="1:6" x14ac:dyDescent="0.3">
      <c r="A78" s="196" t="s">
        <v>177</v>
      </c>
      <c r="B78" s="201">
        <v>83.459000000000003</v>
      </c>
      <c r="C78" s="201">
        <v>85.024000000000001</v>
      </c>
      <c r="D78" s="201">
        <v>87.113</v>
      </c>
      <c r="E78" s="201">
        <v>88.382999999999996</v>
      </c>
      <c r="F78" s="201">
        <v>93.99</v>
      </c>
    </row>
    <row r="79" spans="1:6" ht="16.95" customHeight="1" x14ac:dyDescent="0.3">
      <c r="A79" s="209"/>
      <c r="B79" s="210"/>
      <c r="C79" s="210"/>
      <c r="D79" s="210"/>
      <c r="E79" s="210"/>
      <c r="F79" s="210"/>
    </row>
    <row r="80" spans="1:6" x14ac:dyDescent="0.3">
      <c r="A80" s="209"/>
      <c r="B80" s="210"/>
      <c r="C80" s="210"/>
      <c r="D80" s="210"/>
      <c r="E80" s="210"/>
      <c r="F80" s="210"/>
    </row>
    <row r="81" spans="1:6" x14ac:dyDescent="0.3">
      <c r="A81" s="209"/>
      <c r="B81" s="210"/>
      <c r="C81" s="210"/>
      <c r="D81" s="210"/>
      <c r="E81" s="210"/>
      <c r="F81" s="210"/>
    </row>
    <row r="82" spans="1:6" x14ac:dyDescent="0.3">
      <c r="A82" s="209"/>
      <c r="B82" s="210"/>
      <c r="C82" s="210"/>
      <c r="D82" s="210"/>
      <c r="E82" s="210"/>
      <c r="F82" s="210"/>
    </row>
    <row r="83" spans="1:6" x14ac:dyDescent="0.3">
      <c r="A83" s="209"/>
      <c r="B83" s="210"/>
      <c r="C83" s="210"/>
      <c r="D83" s="210"/>
      <c r="E83" s="210"/>
      <c r="F83" s="210"/>
    </row>
    <row r="84" spans="1:6" x14ac:dyDescent="0.3">
      <c r="A84" s="209"/>
      <c r="B84" s="210"/>
      <c r="C84" s="210"/>
      <c r="D84" s="210"/>
      <c r="E84" s="210"/>
      <c r="F84" s="210"/>
    </row>
    <row r="85" spans="1:6" x14ac:dyDescent="0.3">
      <c r="A85" s="209"/>
      <c r="B85" s="210"/>
      <c r="C85" s="210"/>
      <c r="D85" s="210"/>
      <c r="E85" s="210"/>
      <c r="F85" s="210"/>
    </row>
    <row r="86" spans="1:6" x14ac:dyDescent="0.3">
      <c r="A86" s="209"/>
      <c r="B86" s="210"/>
      <c r="C86" s="210"/>
      <c r="D86" s="210"/>
      <c r="E86" s="210"/>
      <c r="F86" s="210"/>
    </row>
    <row r="87" spans="1:6" x14ac:dyDescent="0.3">
      <c r="A87" s="209"/>
      <c r="B87" s="210"/>
      <c r="C87" s="210"/>
      <c r="D87" s="210"/>
      <c r="E87" s="210"/>
      <c r="F87" s="210"/>
    </row>
    <row r="88" spans="1:6" x14ac:dyDescent="0.3">
      <c r="A88" s="209"/>
      <c r="B88" s="210"/>
      <c r="C88" s="210"/>
      <c r="D88" s="210"/>
      <c r="E88" s="210"/>
      <c r="F88" s="210"/>
    </row>
    <row r="89" spans="1:6" x14ac:dyDescent="0.3">
      <c r="A89" s="209"/>
      <c r="B89" s="211"/>
      <c r="C89" s="211"/>
      <c r="D89" s="211"/>
      <c r="E89" s="211"/>
      <c r="F89" s="211"/>
    </row>
    <row r="90" spans="1:6" x14ac:dyDescent="0.3">
      <c r="A90" s="209"/>
      <c r="B90" s="210"/>
      <c r="C90" s="210"/>
      <c r="D90" s="210"/>
      <c r="E90" s="210"/>
      <c r="F90" s="210"/>
    </row>
    <row r="91" spans="1:6" x14ac:dyDescent="0.3">
      <c r="A91" s="209"/>
      <c r="B91" s="210"/>
      <c r="C91" s="210"/>
      <c r="D91" s="210"/>
      <c r="E91" s="210"/>
      <c r="F91" s="210"/>
    </row>
    <row r="92" spans="1:6" x14ac:dyDescent="0.3">
      <c r="A92" s="209"/>
      <c r="B92" s="210"/>
      <c r="C92" s="210"/>
      <c r="D92" s="210"/>
      <c r="E92" s="210"/>
      <c r="F92" s="210"/>
    </row>
    <row r="93" spans="1:6" x14ac:dyDescent="0.3">
      <c r="A93" s="209"/>
      <c r="B93" s="210"/>
      <c r="C93" s="210"/>
      <c r="D93" s="210"/>
      <c r="E93" s="210"/>
      <c r="F93" s="210"/>
    </row>
    <row r="94" spans="1:6" x14ac:dyDescent="0.3">
      <c r="A94" s="209"/>
      <c r="B94" s="210"/>
      <c r="C94" s="210"/>
      <c r="D94" s="210"/>
      <c r="E94" s="210"/>
      <c r="F94" s="210"/>
    </row>
    <row r="95" spans="1:6" x14ac:dyDescent="0.3">
      <c r="A95" s="209"/>
      <c r="B95" s="210"/>
      <c r="C95" s="210"/>
      <c r="D95" s="210"/>
      <c r="E95" s="210"/>
      <c r="F95" s="210"/>
    </row>
    <row r="96" spans="1:6" x14ac:dyDescent="0.3">
      <c r="A96" s="209"/>
      <c r="B96" s="210"/>
      <c r="C96" s="210"/>
      <c r="D96" s="210"/>
      <c r="E96" s="210"/>
      <c r="F96" s="210"/>
    </row>
    <row r="97" spans="1:6" x14ac:dyDescent="0.3">
      <c r="A97" s="209"/>
      <c r="B97" s="210"/>
      <c r="C97" s="210"/>
      <c r="D97" s="210"/>
      <c r="E97" s="210"/>
      <c r="F97" s="210"/>
    </row>
    <row r="98" spans="1:6" x14ac:dyDescent="0.3">
      <c r="A98" s="209"/>
      <c r="B98" s="210"/>
      <c r="C98" s="210"/>
      <c r="D98" s="210"/>
      <c r="E98" s="210"/>
      <c r="F98" s="210"/>
    </row>
    <row r="99" spans="1:6" x14ac:dyDescent="0.3">
      <c r="A99" s="209"/>
      <c r="B99" s="210"/>
      <c r="C99" s="210"/>
      <c r="D99" s="210"/>
      <c r="E99" s="210"/>
      <c r="F99" s="210"/>
    </row>
    <row r="100" spans="1:6" x14ac:dyDescent="0.3">
      <c r="A100" s="209"/>
      <c r="B100" s="210"/>
      <c r="C100" s="210"/>
      <c r="D100" s="210"/>
      <c r="E100" s="210"/>
      <c r="F100" s="210"/>
    </row>
    <row r="101" spans="1:6" x14ac:dyDescent="0.3">
      <c r="A101" s="209"/>
      <c r="B101" s="210"/>
      <c r="C101" s="210"/>
      <c r="D101" s="210"/>
      <c r="E101" s="210"/>
      <c r="F101" s="210"/>
    </row>
    <row r="102" spans="1:6" x14ac:dyDescent="0.3">
      <c r="A102" s="209"/>
      <c r="B102" s="210"/>
      <c r="C102" s="210"/>
      <c r="D102" s="210"/>
      <c r="E102" s="210"/>
      <c r="F102" s="210"/>
    </row>
    <row r="103" spans="1:6" x14ac:dyDescent="0.3">
      <c r="A103" s="209"/>
      <c r="B103" s="211"/>
      <c r="C103" s="211"/>
      <c r="D103" s="211"/>
      <c r="E103" s="211"/>
      <c r="F103" s="211"/>
    </row>
    <row r="104" spans="1:6" x14ac:dyDescent="0.3">
      <c r="A104" s="209"/>
      <c r="B104" s="211"/>
      <c r="C104" s="211"/>
      <c r="D104" s="211"/>
      <c r="E104" s="211"/>
      <c r="F104" s="211"/>
    </row>
    <row r="105" spans="1:6" x14ac:dyDescent="0.3">
      <c r="A105" s="209"/>
      <c r="B105" s="210"/>
      <c r="C105" s="210"/>
      <c r="D105" s="210"/>
      <c r="E105" s="210"/>
      <c r="F105" s="210"/>
    </row>
    <row r="106" spans="1:6" x14ac:dyDescent="0.3">
      <c r="A106" s="209"/>
      <c r="B106" s="210"/>
      <c r="C106" s="210"/>
      <c r="D106" s="210"/>
      <c r="E106" s="210"/>
      <c r="F106" s="210"/>
    </row>
    <row r="107" spans="1:6" x14ac:dyDescent="0.3">
      <c r="A107" s="209"/>
      <c r="B107" s="210"/>
      <c r="C107" s="210"/>
      <c r="D107" s="210"/>
      <c r="E107" s="210"/>
      <c r="F107" s="210"/>
    </row>
    <row r="108" spans="1:6" x14ac:dyDescent="0.3">
      <c r="A108" s="209"/>
      <c r="B108" s="210"/>
      <c r="C108" s="210"/>
      <c r="D108" s="210"/>
      <c r="E108" s="210"/>
      <c r="F108" s="210"/>
    </row>
    <row r="109" spans="1:6" x14ac:dyDescent="0.3">
      <c r="A109" s="209"/>
      <c r="B109" s="210"/>
      <c r="C109" s="210"/>
      <c r="D109" s="210"/>
      <c r="E109" s="210"/>
      <c r="F109" s="210"/>
    </row>
    <row r="110" spans="1:6" x14ac:dyDescent="0.3">
      <c r="A110" s="209"/>
      <c r="B110" s="210"/>
      <c r="C110" s="210"/>
      <c r="D110" s="210"/>
      <c r="E110" s="210"/>
      <c r="F110" s="210"/>
    </row>
    <row r="111" spans="1:6" x14ac:dyDescent="0.3">
      <c r="A111" s="209"/>
      <c r="B111" s="210"/>
      <c r="C111" s="210"/>
      <c r="D111" s="210"/>
      <c r="E111" s="210"/>
      <c r="F111" s="210"/>
    </row>
    <row r="112" spans="1:6" x14ac:dyDescent="0.3">
      <c r="A112" s="209"/>
      <c r="B112" s="210"/>
      <c r="C112" s="210"/>
      <c r="D112" s="210"/>
      <c r="E112" s="210"/>
      <c r="F112" s="210"/>
    </row>
    <row r="113" spans="1:6" x14ac:dyDescent="0.3">
      <c r="A113" s="209"/>
      <c r="B113" s="210"/>
      <c r="C113" s="210"/>
      <c r="D113" s="210"/>
      <c r="E113" s="210"/>
      <c r="F113" s="210"/>
    </row>
    <row r="114" spans="1:6" x14ac:dyDescent="0.3">
      <c r="A114" s="209"/>
      <c r="B114" s="210"/>
      <c r="C114" s="210"/>
      <c r="D114" s="210"/>
      <c r="E114" s="210"/>
      <c r="F114" s="210"/>
    </row>
    <row r="115" spans="1:6" x14ac:dyDescent="0.3">
      <c r="A115" s="209"/>
      <c r="B115" s="210"/>
      <c r="C115" s="210"/>
      <c r="D115" s="210"/>
      <c r="E115" s="210"/>
      <c r="F115" s="210"/>
    </row>
    <row r="116" spans="1:6" x14ac:dyDescent="0.3">
      <c r="A116" s="209"/>
      <c r="B116" s="210"/>
      <c r="C116" s="210"/>
      <c r="D116" s="210"/>
      <c r="E116" s="210"/>
      <c r="F116" s="210"/>
    </row>
    <row r="117" spans="1:6" x14ac:dyDescent="0.3">
      <c r="A117" s="209"/>
      <c r="B117" s="210"/>
      <c r="C117" s="210"/>
      <c r="D117" s="210"/>
      <c r="E117" s="210"/>
      <c r="F117" s="210"/>
    </row>
    <row r="118" spans="1:6" x14ac:dyDescent="0.3">
      <c r="A118" s="209"/>
      <c r="B118" s="210"/>
      <c r="C118" s="210"/>
      <c r="D118" s="210"/>
      <c r="E118" s="210"/>
      <c r="F118" s="210"/>
    </row>
    <row r="119" spans="1:6" x14ac:dyDescent="0.3">
      <c r="A119" s="209"/>
      <c r="B119" s="210"/>
      <c r="C119" s="210"/>
      <c r="D119" s="210"/>
      <c r="E119" s="210"/>
      <c r="F119" s="210"/>
    </row>
    <row r="120" spans="1:6" x14ac:dyDescent="0.3">
      <c r="A120" s="209"/>
      <c r="B120" s="210"/>
      <c r="C120" s="210"/>
      <c r="D120" s="210"/>
      <c r="E120" s="210"/>
      <c r="F120" s="210"/>
    </row>
    <row r="121" spans="1:6" x14ac:dyDescent="0.3">
      <c r="A121" s="209"/>
      <c r="B121" s="211"/>
      <c r="C121" s="211"/>
      <c r="D121" s="211"/>
      <c r="E121" s="211"/>
      <c r="F121" s="211"/>
    </row>
    <row r="122" spans="1:6" x14ac:dyDescent="0.3">
      <c r="A122" s="209"/>
      <c r="B122" s="210"/>
      <c r="C122" s="210"/>
      <c r="D122" s="210"/>
      <c r="E122" s="210"/>
      <c r="F122" s="210"/>
    </row>
    <row r="123" spans="1:6" x14ac:dyDescent="0.3">
      <c r="A123" s="209"/>
      <c r="B123" s="210"/>
      <c r="C123" s="210"/>
      <c r="D123" s="210"/>
      <c r="E123" s="210"/>
      <c r="F123" s="210"/>
    </row>
    <row r="124" spans="1:6" x14ac:dyDescent="0.3">
      <c r="A124" s="209"/>
      <c r="B124" s="210"/>
      <c r="C124" s="210"/>
      <c r="D124" s="210"/>
      <c r="E124" s="210"/>
      <c r="F124" s="210"/>
    </row>
    <row r="125" spans="1:6" x14ac:dyDescent="0.3">
      <c r="A125" s="209"/>
      <c r="B125" s="211"/>
      <c r="C125" s="211"/>
      <c r="D125" s="211"/>
      <c r="E125" s="211"/>
      <c r="F125" s="211"/>
    </row>
    <row r="126" spans="1:6" x14ac:dyDescent="0.3">
      <c r="A126" s="212"/>
      <c r="B126" s="211"/>
      <c r="C126" s="210"/>
      <c r="D126" s="210"/>
      <c r="E126" s="210"/>
      <c r="F126" s="210"/>
    </row>
    <row r="127" spans="1:6" x14ac:dyDescent="0.3">
      <c r="A127" s="212"/>
      <c r="B127" s="211"/>
      <c r="C127" s="210"/>
      <c r="D127" s="210"/>
      <c r="E127" s="210"/>
      <c r="F127" s="210"/>
    </row>
    <row r="128" spans="1:6" x14ac:dyDescent="0.3">
      <c r="A128" s="212"/>
      <c r="B128" s="211"/>
      <c r="C128" s="211"/>
      <c r="D128" s="211"/>
      <c r="E128" s="211"/>
      <c r="F128" s="211"/>
    </row>
    <row r="129" spans="1:6" x14ac:dyDescent="0.3">
      <c r="A129" s="212"/>
      <c r="B129" s="211"/>
      <c r="C129" s="211"/>
      <c r="D129" s="211"/>
      <c r="E129" s="211"/>
      <c r="F129" s="211"/>
    </row>
    <row r="130" spans="1:6" x14ac:dyDescent="0.3">
      <c r="A130" s="212"/>
      <c r="B130" s="211"/>
      <c r="C130" s="210"/>
      <c r="D130" s="210"/>
      <c r="E130" s="210"/>
      <c r="F130" s="210"/>
    </row>
    <row r="131" spans="1:6" x14ac:dyDescent="0.3">
      <c r="A131" s="212"/>
      <c r="B131" s="211"/>
      <c r="C131" s="210"/>
      <c r="D131" s="210"/>
      <c r="E131" s="210"/>
      <c r="F131" s="210"/>
    </row>
    <row r="132" spans="1:6" x14ac:dyDescent="0.3">
      <c r="A132" s="212"/>
      <c r="B132" s="211"/>
      <c r="C132" s="210"/>
      <c r="D132" s="210"/>
      <c r="E132" s="210"/>
      <c r="F132" s="210"/>
    </row>
    <row r="133" spans="1:6" x14ac:dyDescent="0.3">
      <c r="A133" s="212"/>
      <c r="B133" s="211"/>
      <c r="C133" s="210"/>
      <c r="D133" s="210"/>
      <c r="E133" s="210"/>
      <c r="F133" s="210"/>
    </row>
    <row r="134" spans="1:6" x14ac:dyDescent="0.3">
      <c r="A134" s="212"/>
      <c r="B134" s="211"/>
      <c r="C134" s="210"/>
      <c r="D134" s="210"/>
      <c r="E134" s="210"/>
      <c r="F134" s="210"/>
    </row>
    <row r="135" spans="1:6" x14ac:dyDescent="0.3">
      <c r="A135" s="212"/>
      <c r="B135" s="211"/>
      <c r="C135" s="210"/>
      <c r="D135" s="210"/>
      <c r="E135" s="210"/>
      <c r="F135" s="210"/>
    </row>
    <row r="136" spans="1:6" x14ac:dyDescent="0.3">
      <c r="A136" s="212"/>
      <c r="B136" s="211"/>
      <c r="C136" s="210"/>
      <c r="D136" s="210"/>
      <c r="E136" s="210"/>
      <c r="F136" s="210"/>
    </row>
    <row r="137" spans="1:6" x14ac:dyDescent="0.3">
      <c r="A137" s="212"/>
      <c r="B137" s="211"/>
      <c r="C137" s="211"/>
      <c r="D137" s="211"/>
      <c r="E137" s="211"/>
      <c r="F137" s="211"/>
    </row>
    <row r="138" spans="1:6" x14ac:dyDescent="0.3">
      <c r="A138" s="212"/>
      <c r="B138" s="211"/>
      <c r="C138" s="211"/>
      <c r="D138" s="211"/>
      <c r="E138" s="211"/>
      <c r="F138" s="211"/>
    </row>
    <row r="139" spans="1:6" x14ac:dyDescent="0.3">
      <c r="A139" s="212"/>
      <c r="B139" s="211"/>
      <c r="C139" s="211"/>
      <c r="D139" s="211"/>
      <c r="E139" s="211"/>
      <c r="F139" s="211"/>
    </row>
    <row r="140" spans="1:6" x14ac:dyDescent="0.3">
      <c r="A140" s="212"/>
      <c r="B140" s="211"/>
      <c r="C140" s="211"/>
      <c r="D140" s="211"/>
      <c r="E140" s="211"/>
      <c r="F140" s="211"/>
    </row>
    <row r="141" spans="1:6" x14ac:dyDescent="0.3">
      <c r="A141" s="212"/>
      <c r="B141" s="211"/>
      <c r="C141" s="211"/>
      <c r="D141" s="211"/>
      <c r="E141" s="211"/>
      <c r="F141" s="211"/>
    </row>
    <row r="142" spans="1:6" x14ac:dyDescent="0.3">
      <c r="A142" s="212"/>
      <c r="B142" s="211"/>
      <c r="C142" s="211"/>
      <c r="D142" s="211"/>
      <c r="E142" s="211"/>
      <c r="F142" s="211"/>
    </row>
    <row r="143" spans="1:6" x14ac:dyDescent="0.3">
      <c r="A143" s="212"/>
      <c r="B143" s="211"/>
      <c r="C143" s="211"/>
      <c r="D143" s="211"/>
      <c r="E143" s="211"/>
      <c r="F143" s="211"/>
    </row>
    <row r="144" spans="1:6" x14ac:dyDescent="0.3">
      <c r="A144" s="212"/>
      <c r="B144" s="211"/>
      <c r="C144" s="210"/>
      <c r="D144" s="210"/>
      <c r="E144" s="210"/>
      <c r="F144" s="210"/>
    </row>
    <row r="145" spans="1:6" x14ac:dyDescent="0.3">
      <c r="A145" s="212"/>
      <c r="B145" s="211"/>
      <c r="C145" s="210"/>
      <c r="D145" s="210"/>
      <c r="E145" s="210"/>
      <c r="F145" s="210"/>
    </row>
    <row r="146" spans="1:6" x14ac:dyDescent="0.3">
      <c r="A146" s="212"/>
      <c r="B146" s="211"/>
      <c r="C146" s="211"/>
      <c r="D146" s="211"/>
      <c r="E146" s="211"/>
      <c r="F146" s="211"/>
    </row>
    <row r="147" spans="1:6" x14ac:dyDescent="0.3">
      <c r="A147" s="212"/>
      <c r="B147" s="211"/>
      <c r="C147" s="211"/>
      <c r="D147" s="211"/>
      <c r="E147" s="211"/>
      <c r="F147" s="211"/>
    </row>
    <row r="148" spans="1:6" x14ac:dyDescent="0.3">
      <c r="A148" s="212"/>
      <c r="B148" s="211"/>
      <c r="C148" s="211"/>
      <c r="D148" s="211"/>
      <c r="E148" s="211"/>
      <c r="F148" s="211"/>
    </row>
    <row r="149" spans="1:6" x14ac:dyDescent="0.3">
      <c r="A149" s="209"/>
      <c r="B149" s="211"/>
      <c r="C149" s="213"/>
      <c r="D149" s="213"/>
      <c r="E149" s="213"/>
      <c r="F149" s="213"/>
    </row>
    <row r="150" spans="1:6" x14ac:dyDescent="0.3">
      <c r="B150" s="214"/>
      <c r="C150" s="214"/>
      <c r="D150" s="214"/>
      <c r="E150" s="214"/>
      <c r="F150" s="214"/>
    </row>
    <row r="151" spans="1:6" x14ac:dyDescent="0.3">
      <c r="B151" s="214"/>
      <c r="C151" s="214"/>
      <c r="D151" s="214"/>
      <c r="E151" s="214"/>
      <c r="F151" s="214"/>
    </row>
    <row r="152" spans="1:6" x14ac:dyDescent="0.3">
      <c r="B152" s="214"/>
      <c r="C152" s="214"/>
      <c r="D152" s="214"/>
      <c r="E152" s="214"/>
      <c r="F152" s="214"/>
    </row>
    <row r="153" spans="1:6" x14ac:dyDescent="0.3">
      <c r="B153" s="214"/>
      <c r="C153" s="214"/>
      <c r="D153" s="214"/>
      <c r="E153" s="214"/>
      <c r="F153" s="214"/>
    </row>
    <row r="154" spans="1:6" x14ac:dyDescent="0.3">
      <c r="B154" s="214"/>
      <c r="C154" s="214"/>
      <c r="D154" s="214"/>
      <c r="E154" s="214"/>
      <c r="F154" s="214"/>
    </row>
    <row r="155" spans="1:6" x14ac:dyDescent="0.3">
      <c r="B155" s="214"/>
      <c r="C155" s="214"/>
      <c r="D155" s="214"/>
      <c r="E155" s="214"/>
      <c r="F155" s="214"/>
    </row>
    <row r="156" spans="1:6" x14ac:dyDescent="0.3">
      <c r="B156" s="214"/>
      <c r="C156" s="214"/>
      <c r="D156" s="214"/>
      <c r="E156" s="214"/>
      <c r="F156" s="214"/>
    </row>
    <row r="157" spans="1:6" x14ac:dyDescent="0.3">
      <c r="B157" s="214"/>
      <c r="C157" s="214"/>
      <c r="D157" s="214"/>
      <c r="E157" s="214"/>
      <c r="F157" s="214"/>
    </row>
    <row r="158" spans="1:6" x14ac:dyDescent="0.3">
      <c r="B158" s="214"/>
      <c r="C158" s="214"/>
      <c r="D158" s="214"/>
      <c r="E158" s="214"/>
      <c r="F158" s="214"/>
    </row>
    <row r="159" spans="1:6" x14ac:dyDescent="0.3">
      <c r="B159" s="214"/>
      <c r="C159" s="214"/>
      <c r="D159" s="214"/>
      <c r="E159" s="214"/>
      <c r="F159" s="214"/>
    </row>
    <row r="160" spans="1:6" x14ac:dyDescent="0.3">
      <c r="B160" s="214"/>
      <c r="C160" s="214"/>
      <c r="D160" s="214"/>
      <c r="E160" s="214"/>
      <c r="F160" s="214"/>
    </row>
    <row r="161" spans="1:6" x14ac:dyDescent="0.3">
      <c r="B161" s="214"/>
      <c r="C161" s="214"/>
      <c r="D161" s="214"/>
      <c r="E161" s="214"/>
      <c r="F161" s="214"/>
    </row>
    <row r="162" spans="1:6" x14ac:dyDescent="0.3">
      <c r="B162" s="214"/>
      <c r="C162" s="214"/>
      <c r="D162" s="214"/>
      <c r="E162" s="214"/>
      <c r="F162" s="214"/>
    </row>
    <row r="163" spans="1:6" x14ac:dyDescent="0.3">
      <c r="B163" s="214"/>
      <c r="C163" s="214"/>
      <c r="D163" s="214"/>
      <c r="E163" s="214"/>
      <c r="F163" s="214"/>
    </row>
    <row r="164" spans="1:6" x14ac:dyDescent="0.3">
      <c r="B164" s="214"/>
      <c r="C164" s="214"/>
      <c r="D164" s="214"/>
      <c r="E164" s="214"/>
      <c r="F164" s="214"/>
    </row>
    <row r="165" spans="1:6" x14ac:dyDescent="0.3">
      <c r="A165" s="209"/>
      <c r="B165" s="215"/>
      <c r="C165" s="215"/>
      <c r="D165" s="215"/>
      <c r="E165" s="215"/>
      <c r="F165" s="215"/>
    </row>
    <row r="166" spans="1:6" x14ac:dyDescent="0.3">
      <c r="B166" s="214"/>
      <c r="C166" s="214"/>
      <c r="D166" s="214"/>
      <c r="E166" s="214"/>
      <c r="F166" s="214"/>
    </row>
    <row r="167" spans="1:6" x14ac:dyDescent="0.3">
      <c r="B167" s="214"/>
      <c r="C167" s="214"/>
      <c r="D167" s="214"/>
      <c r="E167" s="214"/>
      <c r="F167" s="214"/>
    </row>
    <row r="168" spans="1:6" x14ac:dyDescent="0.3">
      <c r="B168" s="214"/>
      <c r="C168" s="214"/>
      <c r="D168" s="214"/>
      <c r="E168" s="214"/>
      <c r="F168" s="214"/>
    </row>
    <row r="169" spans="1:6" x14ac:dyDescent="0.3">
      <c r="B169" s="214"/>
      <c r="C169" s="214"/>
      <c r="D169" s="214"/>
      <c r="E169" s="214"/>
      <c r="F169" s="214"/>
    </row>
    <row r="170" spans="1:6" x14ac:dyDescent="0.3">
      <c r="B170" s="214"/>
      <c r="C170" s="214"/>
      <c r="D170" s="214"/>
      <c r="E170" s="214"/>
      <c r="F170" s="214"/>
    </row>
    <row r="171" spans="1:6" x14ac:dyDescent="0.3">
      <c r="B171" s="214"/>
      <c r="C171" s="214"/>
      <c r="D171" s="214"/>
      <c r="E171" s="214"/>
      <c r="F171" s="214"/>
    </row>
    <row r="172" spans="1:6" x14ac:dyDescent="0.3">
      <c r="B172" s="214"/>
      <c r="C172" s="214"/>
      <c r="D172" s="214"/>
      <c r="E172" s="214"/>
      <c r="F172" s="214"/>
    </row>
    <row r="173" spans="1:6" x14ac:dyDescent="0.3">
      <c r="B173" s="214"/>
      <c r="C173" s="214"/>
      <c r="D173" s="214"/>
      <c r="E173" s="214"/>
      <c r="F173" s="214"/>
    </row>
    <row r="174" spans="1:6" x14ac:dyDescent="0.3">
      <c r="B174" s="214"/>
      <c r="C174" s="214"/>
      <c r="D174" s="214"/>
      <c r="E174" s="214"/>
      <c r="F174" s="214"/>
    </row>
    <row r="175" spans="1:6" x14ac:dyDescent="0.3">
      <c r="B175" s="214"/>
      <c r="C175" s="214"/>
      <c r="D175" s="214"/>
      <c r="E175" s="214"/>
      <c r="F175" s="214"/>
    </row>
    <row r="176" spans="1:6" x14ac:dyDescent="0.3">
      <c r="B176" s="214"/>
      <c r="C176" s="214"/>
      <c r="D176" s="214"/>
      <c r="E176" s="214"/>
      <c r="F176" s="214"/>
    </row>
    <row r="177" spans="1:6" x14ac:dyDescent="0.3">
      <c r="B177" s="214"/>
      <c r="C177" s="214"/>
      <c r="D177" s="214"/>
      <c r="E177" s="214"/>
      <c r="F177" s="214"/>
    </row>
    <row r="178" spans="1:6" x14ac:dyDescent="0.3">
      <c r="B178" s="214"/>
      <c r="C178" s="214"/>
      <c r="D178" s="214"/>
      <c r="E178" s="214"/>
      <c r="F178" s="214"/>
    </row>
    <row r="179" spans="1:6" x14ac:dyDescent="0.3">
      <c r="B179" s="214"/>
      <c r="C179" s="214"/>
      <c r="D179" s="214"/>
      <c r="E179" s="214"/>
      <c r="F179" s="214"/>
    </row>
    <row r="180" spans="1:6" x14ac:dyDescent="0.3">
      <c r="B180" s="214"/>
      <c r="C180" s="214"/>
      <c r="D180" s="214"/>
      <c r="E180" s="214"/>
      <c r="F180" s="214"/>
    </row>
    <row r="181" spans="1:6" x14ac:dyDescent="0.3">
      <c r="B181" s="214"/>
      <c r="C181" s="214"/>
      <c r="D181" s="214"/>
      <c r="E181" s="214"/>
      <c r="F181" s="214"/>
    </row>
    <row r="182" spans="1:6" x14ac:dyDescent="0.3">
      <c r="B182" s="214"/>
      <c r="C182" s="214"/>
      <c r="D182" s="214"/>
      <c r="E182" s="214"/>
      <c r="F182" s="214"/>
    </row>
    <row r="183" spans="1:6" x14ac:dyDescent="0.3">
      <c r="A183" s="209"/>
      <c r="B183" s="215"/>
      <c r="C183" s="215"/>
      <c r="D183" s="215"/>
      <c r="E183" s="215"/>
      <c r="F183" s="215"/>
    </row>
    <row r="184" spans="1:6" x14ac:dyDescent="0.3">
      <c r="B184" s="214"/>
      <c r="C184" s="214"/>
      <c r="D184" s="214"/>
      <c r="E184" s="214"/>
      <c r="F184" s="214"/>
    </row>
    <row r="185" spans="1:6" x14ac:dyDescent="0.3">
      <c r="B185" s="214"/>
      <c r="C185" s="214"/>
      <c r="D185" s="214"/>
      <c r="E185" s="214"/>
      <c r="F185" s="214"/>
    </row>
    <row r="186" spans="1:6" x14ac:dyDescent="0.3">
      <c r="B186" s="214"/>
      <c r="C186" s="214"/>
      <c r="D186" s="214"/>
      <c r="E186" s="214"/>
      <c r="F186" s="214"/>
    </row>
    <row r="187" spans="1:6" x14ac:dyDescent="0.3">
      <c r="B187" s="214"/>
      <c r="C187" s="214"/>
      <c r="D187" s="214"/>
      <c r="E187" s="214"/>
      <c r="F187" s="214"/>
    </row>
    <row r="188" spans="1:6" x14ac:dyDescent="0.3">
      <c r="A188" s="209"/>
      <c r="B188" s="215"/>
      <c r="C188" s="215"/>
      <c r="D188" s="215"/>
      <c r="E188" s="215"/>
      <c r="F188" s="215"/>
    </row>
    <row r="189" spans="1:6" x14ac:dyDescent="0.3">
      <c r="B189" s="214"/>
      <c r="C189" s="214"/>
      <c r="D189" s="214"/>
      <c r="E189" s="214"/>
      <c r="F189" s="214"/>
    </row>
    <row r="190" spans="1:6" x14ac:dyDescent="0.3">
      <c r="B190" s="214"/>
      <c r="C190" s="214"/>
      <c r="D190" s="214"/>
      <c r="E190" s="214"/>
      <c r="F190" s="214"/>
    </row>
    <row r="191" spans="1:6" x14ac:dyDescent="0.3">
      <c r="B191" s="214"/>
      <c r="C191" s="214"/>
      <c r="D191" s="214"/>
      <c r="E191" s="214"/>
      <c r="F191" s="214"/>
    </row>
    <row r="192" spans="1:6" x14ac:dyDescent="0.3">
      <c r="B192" s="214"/>
      <c r="C192" s="214"/>
      <c r="D192" s="214"/>
      <c r="E192" s="214"/>
      <c r="F192" s="214"/>
    </row>
    <row r="193" spans="1:6" x14ac:dyDescent="0.3">
      <c r="A193" s="209"/>
      <c r="B193" s="215"/>
      <c r="C193" s="215"/>
      <c r="D193" s="215"/>
      <c r="E193" s="215"/>
      <c r="F193" s="215"/>
    </row>
    <row r="194" spans="1:6" x14ac:dyDescent="0.3">
      <c r="A194" s="209"/>
      <c r="B194" s="215"/>
      <c r="C194" s="215"/>
      <c r="D194" s="215"/>
      <c r="E194" s="215"/>
      <c r="F194" s="215"/>
    </row>
    <row r="195" spans="1:6" x14ac:dyDescent="0.3">
      <c r="A195" s="209"/>
      <c r="B195" s="215"/>
      <c r="C195" s="215"/>
      <c r="D195" s="215"/>
      <c r="E195" s="215"/>
      <c r="F195" s="215"/>
    </row>
    <row r="196" spans="1:6" x14ac:dyDescent="0.3">
      <c r="A196" s="209"/>
      <c r="B196" s="215"/>
      <c r="C196" s="215"/>
      <c r="D196" s="215"/>
      <c r="E196" s="215"/>
      <c r="F196" s="215"/>
    </row>
    <row r="197" spans="1:6" x14ac:dyDescent="0.3">
      <c r="A197" s="209"/>
      <c r="B197" s="215"/>
      <c r="C197" s="215"/>
      <c r="D197" s="215"/>
      <c r="E197" s="215"/>
      <c r="F197" s="215"/>
    </row>
    <row r="198" spans="1:6" x14ac:dyDescent="0.3">
      <c r="B198" s="214"/>
      <c r="C198" s="214"/>
      <c r="D198" s="214"/>
      <c r="E198" s="214"/>
      <c r="F198" s="214"/>
    </row>
    <row r="199" spans="1:6" x14ac:dyDescent="0.3">
      <c r="B199" s="214"/>
      <c r="C199" s="214"/>
      <c r="D199" s="214"/>
      <c r="E199" s="214"/>
      <c r="F199" s="214"/>
    </row>
    <row r="200" spans="1:6" x14ac:dyDescent="0.3">
      <c r="A200" s="209"/>
      <c r="B200" s="215"/>
      <c r="C200" s="215"/>
      <c r="D200" s="215"/>
      <c r="E200" s="215"/>
      <c r="F200" s="215"/>
    </row>
    <row r="201" spans="1:6" x14ac:dyDescent="0.3">
      <c r="B201" s="214"/>
      <c r="C201" s="214"/>
      <c r="D201" s="214"/>
      <c r="E201" s="214"/>
      <c r="F201" s="214"/>
    </row>
    <row r="202" spans="1:6" x14ac:dyDescent="0.3">
      <c r="B202" s="214"/>
      <c r="C202" s="214"/>
      <c r="D202" s="214"/>
      <c r="E202" s="214"/>
      <c r="F202" s="214"/>
    </row>
    <row r="203" spans="1:6" x14ac:dyDescent="0.3">
      <c r="A203" s="209"/>
      <c r="B203" s="215"/>
      <c r="C203" s="215"/>
      <c r="D203" s="215"/>
      <c r="E203" s="215"/>
      <c r="F203" s="215"/>
    </row>
    <row r="204" spans="1:6" x14ac:dyDescent="0.3">
      <c r="B204" s="214"/>
      <c r="C204" s="214"/>
      <c r="D204" s="214"/>
      <c r="E204" s="214"/>
      <c r="F204" s="214"/>
    </row>
    <row r="205" spans="1:6" x14ac:dyDescent="0.3">
      <c r="B205" s="214"/>
      <c r="C205" s="214"/>
      <c r="D205" s="214"/>
      <c r="E205" s="214"/>
      <c r="F205" s="214"/>
    </row>
    <row r="206" spans="1:6" x14ac:dyDescent="0.3">
      <c r="A206" s="209"/>
      <c r="B206" s="215"/>
      <c r="C206" s="215"/>
      <c r="D206" s="215"/>
      <c r="E206" s="215"/>
      <c r="F206" s="215"/>
    </row>
    <row r="207" spans="1:6" x14ac:dyDescent="0.3">
      <c r="B207" s="214"/>
      <c r="C207" s="214"/>
      <c r="D207" s="214"/>
      <c r="E207" s="214"/>
      <c r="F207" s="214"/>
    </row>
    <row r="208" spans="1:6" x14ac:dyDescent="0.3">
      <c r="B208" s="214"/>
      <c r="C208" s="214"/>
      <c r="D208" s="214"/>
      <c r="E208" s="214"/>
      <c r="F208" s="214"/>
    </row>
    <row r="209" spans="1:6" x14ac:dyDescent="0.3">
      <c r="B209" s="214"/>
      <c r="C209" s="214"/>
      <c r="D209" s="214"/>
      <c r="E209" s="214"/>
      <c r="F209" s="214"/>
    </row>
    <row r="210" spans="1:6" x14ac:dyDescent="0.3">
      <c r="A210" s="209"/>
      <c r="B210" s="215"/>
      <c r="C210" s="215"/>
      <c r="D210" s="215"/>
      <c r="E210" s="215"/>
      <c r="F210" s="215"/>
    </row>
    <row r="211" spans="1:6" x14ac:dyDescent="0.3">
      <c r="B211" s="214"/>
      <c r="C211" s="214"/>
      <c r="D211" s="214"/>
      <c r="E211" s="214"/>
      <c r="F211" s="214"/>
    </row>
    <row r="212" spans="1:6" x14ac:dyDescent="0.3">
      <c r="B212" s="214"/>
      <c r="C212" s="214"/>
      <c r="D212" s="214"/>
      <c r="E212" s="214"/>
      <c r="F212" s="214"/>
    </row>
    <row r="213" spans="1:6" x14ac:dyDescent="0.3">
      <c r="B213" s="214"/>
      <c r="C213" s="214"/>
      <c r="D213" s="214"/>
      <c r="E213" s="214"/>
      <c r="F213" s="214"/>
    </row>
    <row r="214" spans="1:6" x14ac:dyDescent="0.3">
      <c r="B214" s="214"/>
      <c r="C214" s="214"/>
      <c r="D214" s="214"/>
      <c r="E214" s="214"/>
      <c r="F214" s="214"/>
    </row>
    <row r="215" spans="1:6" x14ac:dyDescent="0.3">
      <c r="B215" s="214"/>
      <c r="C215" s="214"/>
      <c r="D215" s="214"/>
      <c r="E215" s="214"/>
      <c r="F215" s="214"/>
    </row>
    <row r="216" spans="1:6" x14ac:dyDescent="0.3">
      <c r="B216" s="214"/>
      <c r="C216" s="214"/>
      <c r="D216" s="214"/>
      <c r="E216" s="214"/>
      <c r="F216" s="214"/>
    </row>
    <row r="217" spans="1:6" x14ac:dyDescent="0.3">
      <c r="B217" s="214"/>
      <c r="C217" s="214"/>
      <c r="D217" s="214"/>
      <c r="E217" s="214"/>
      <c r="F217" s="214"/>
    </row>
    <row r="218" spans="1:6" x14ac:dyDescent="0.3">
      <c r="B218" s="214"/>
      <c r="C218" s="214"/>
      <c r="D218" s="214"/>
      <c r="E218" s="214"/>
      <c r="F218" s="214"/>
    </row>
    <row r="219" spans="1:6" x14ac:dyDescent="0.3">
      <c r="B219" s="214"/>
      <c r="C219" s="214"/>
      <c r="D219" s="214"/>
      <c r="E219" s="214"/>
      <c r="F219" s="214"/>
    </row>
    <row r="220" spans="1:6" x14ac:dyDescent="0.3">
      <c r="B220" s="214"/>
      <c r="C220" s="214"/>
      <c r="D220" s="214"/>
      <c r="E220" s="214"/>
      <c r="F220" s="214"/>
    </row>
    <row r="221" spans="1:6" x14ac:dyDescent="0.3">
      <c r="B221" s="214"/>
      <c r="C221" s="214"/>
      <c r="D221" s="214"/>
      <c r="E221" s="214"/>
      <c r="F221" s="214"/>
    </row>
    <row r="222" spans="1:6" x14ac:dyDescent="0.3">
      <c r="B222" s="214"/>
      <c r="C222" s="214"/>
      <c r="D222" s="214"/>
      <c r="E222" s="214"/>
      <c r="F222" s="214"/>
    </row>
    <row r="223" spans="1:6" x14ac:dyDescent="0.3">
      <c r="B223" s="214"/>
      <c r="C223" s="214"/>
      <c r="D223" s="214"/>
      <c r="E223" s="214"/>
      <c r="F223" s="214"/>
    </row>
    <row r="224" spans="1:6" x14ac:dyDescent="0.3">
      <c r="B224" s="214"/>
      <c r="C224" s="214"/>
      <c r="D224" s="214"/>
      <c r="E224" s="214"/>
      <c r="F224" s="214"/>
    </row>
    <row r="225" spans="2:6" x14ac:dyDescent="0.3">
      <c r="B225" s="214"/>
      <c r="C225" s="214"/>
      <c r="D225" s="214"/>
      <c r="E225" s="214"/>
      <c r="F225" s="214"/>
    </row>
    <row r="226" spans="2:6" x14ac:dyDescent="0.3">
      <c r="B226" s="214"/>
      <c r="C226" s="214"/>
      <c r="D226" s="214"/>
      <c r="E226" s="214"/>
      <c r="F226" s="214"/>
    </row>
    <row r="227" spans="2:6" x14ac:dyDescent="0.3">
      <c r="B227" s="214"/>
      <c r="C227" s="214"/>
      <c r="D227" s="214"/>
      <c r="E227" s="214"/>
      <c r="F227" s="214"/>
    </row>
    <row r="228" spans="2:6" x14ac:dyDescent="0.3">
      <c r="B228" s="214"/>
      <c r="C228" s="214"/>
      <c r="D228" s="214"/>
      <c r="E228" s="214"/>
      <c r="F228" s="214"/>
    </row>
    <row r="229" spans="2:6" x14ac:dyDescent="0.3">
      <c r="B229" s="214"/>
      <c r="C229" s="214"/>
      <c r="D229" s="214"/>
      <c r="E229" s="214"/>
      <c r="F229" s="214"/>
    </row>
    <row r="230" spans="2:6" x14ac:dyDescent="0.3">
      <c r="B230" s="214"/>
      <c r="C230" s="214"/>
      <c r="D230" s="214"/>
      <c r="E230" s="214"/>
      <c r="F230" s="214"/>
    </row>
    <row r="231" spans="2:6" x14ac:dyDescent="0.3">
      <c r="B231" s="214"/>
      <c r="C231" s="214"/>
      <c r="D231" s="214"/>
      <c r="E231" s="214"/>
      <c r="F231" s="214"/>
    </row>
    <row r="232" spans="2:6" x14ac:dyDescent="0.3">
      <c r="B232" s="214"/>
      <c r="C232" s="214"/>
      <c r="D232" s="214"/>
      <c r="E232" s="214"/>
      <c r="F232" s="214"/>
    </row>
    <row r="233" spans="2:6" x14ac:dyDescent="0.3">
      <c r="B233" s="214"/>
      <c r="C233" s="214"/>
      <c r="D233" s="214"/>
      <c r="E233" s="214"/>
      <c r="F233" s="214"/>
    </row>
    <row r="234" spans="2:6" x14ac:dyDescent="0.3">
      <c r="B234" s="214"/>
      <c r="C234" s="214"/>
      <c r="D234" s="214"/>
      <c r="E234" s="214"/>
      <c r="F234" s="214"/>
    </row>
    <row r="235" spans="2:6" x14ac:dyDescent="0.3">
      <c r="B235" s="214"/>
      <c r="C235" s="214"/>
      <c r="D235" s="214"/>
      <c r="E235" s="214"/>
      <c r="F235" s="214"/>
    </row>
    <row r="236" spans="2:6" x14ac:dyDescent="0.3">
      <c r="B236" s="214"/>
      <c r="C236" s="214"/>
      <c r="D236" s="214"/>
      <c r="E236" s="214"/>
      <c r="F236" s="214"/>
    </row>
    <row r="237" spans="2:6" x14ac:dyDescent="0.3">
      <c r="B237" s="214"/>
      <c r="C237" s="214"/>
      <c r="D237" s="214"/>
      <c r="E237" s="214"/>
      <c r="F237" s="214"/>
    </row>
    <row r="238" spans="2:6" x14ac:dyDescent="0.3">
      <c r="B238" s="214"/>
      <c r="C238" s="214"/>
      <c r="D238" s="214"/>
      <c r="E238" s="214"/>
      <c r="F238" s="214"/>
    </row>
    <row r="239" spans="2:6" x14ac:dyDescent="0.3">
      <c r="B239" s="214"/>
      <c r="C239" s="214"/>
      <c r="D239" s="214"/>
      <c r="E239" s="214"/>
      <c r="F239" s="214"/>
    </row>
    <row r="240" spans="2:6" x14ac:dyDescent="0.3">
      <c r="B240" s="214"/>
      <c r="C240" s="214"/>
      <c r="D240" s="214"/>
      <c r="E240" s="214"/>
      <c r="F240" s="214"/>
    </row>
    <row r="241" spans="2:6" x14ac:dyDescent="0.3">
      <c r="B241" s="214"/>
      <c r="C241" s="214"/>
      <c r="D241" s="214"/>
      <c r="E241" s="214"/>
      <c r="F241" s="214"/>
    </row>
    <row r="242" spans="2:6" x14ac:dyDescent="0.3">
      <c r="B242" s="214"/>
      <c r="C242" s="214"/>
      <c r="D242" s="214"/>
      <c r="E242" s="214"/>
      <c r="F242" s="214"/>
    </row>
    <row r="243" spans="2:6" x14ac:dyDescent="0.3">
      <c r="B243" s="214"/>
      <c r="C243" s="214"/>
      <c r="D243" s="214"/>
      <c r="E243" s="214"/>
      <c r="F243" s="214"/>
    </row>
    <row r="244" spans="2:6" x14ac:dyDescent="0.3">
      <c r="B244" s="214"/>
      <c r="C244" s="214"/>
      <c r="D244" s="214"/>
      <c r="E244" s="214"/>
      <c r="F244" s="214"/>
    </row>
    <row r="245" spans="2:6" x14ac:dyDescent="0.3">
      <c r="B245" s="214"/>
      <c r="C245" s="214"/>
      <c r="D245" s="214"/>
      <c r="E245" s="214"/>
      <c r="F245" s="214"/>
    </row>
    <row r="246" spans="2:6" x14ac:dyDescent="0.3">
      <c r="B246" s="214"/>
      <c r="C246" s="214"/>
      <c r="D246" s="214"/>
      <c r="E246" s="214"/>
      <c r="F246" s="214"/>
    </row>
    <row r="247" spans="2:6" x14ac:dyDescent="0.3">
      <c r="B247" s="214"/>
      <c r="C247" s="214"/>
      <c r="D247" s="214"/>
      <c r="E247" s="214"/>
      <c r="F247" s="214"/>
    </row>
    <row r="248" spans="2:6" x14ac:dyDescent="0.3">
      <c r="B248" s="214"/>
      <c r="C248" s="214"/>
      <c r="D248" s="214"/>
      <c r="E248" s="214"/>
      <c r="F248" s="214"/>
    </row>
    <row r="249" spans="2:6" x14ac:dyDescent="0.3">
      <c r="B249" s="214"/>
      <c r="C249" s="214"/>
      <c r="D249" s="214"/>
      <c r="E249" s="214"/>
      <c r="F249" s="214"/>
    </row>
    <row r="250" spans="2:6" x14ac:dyDescent="0.3">
      <c r="B250" s="214"/>
      <c r="C250" s="214"/>
      <c r="D250" s="214"/>
      <c r="E250" s="214"/>
      <c r="F250" s="214"/>
    </row>
    <row r="251" spans="2:6" x14ac:dyDescent="0.3">
      <c r="B251" s="214"/>
      <c r="C251" s="214"/>
      <c r="D251" s="214"/>
      <c r="E251" s="214"/>
      <c r="F251" s="214"/>
    </row>
    <row r="252" spans="2:6" x14ac:dyDescent="0.3">
      <c r="B252" s="214"/>
      <c r="C252" s="214"/>
      <c r="D252" s="214"/>
      <c r="E252" s="214"/>
      <c r="F252" s="214"/>
    </row>
    <row r="253" spans="2:6" x14ac:dyDescent="0.3">
      <c r="B253" s="214"/>
      <c r="C253" s="214"/>
      <c r="D253" s="214"/>
      <c r="E253" s="214"/>
      <c r="F253" s="214"/>
    </row>
    <row r="254" spans="2:6" x14ac:dyDescent="0.3">
      <c r="B254" s="214"/>
      <c r="C254" s="214"/>
      <c r="D254" s="214"/>
      <c r="E254" s="214"/>
      <c r="F254" s="214"/>
    </row>
    <row r="255" spans="2:6" x14ac:dyDescent="0.3">
      <c r="B255" s="214"/>
      <c r="C255" s="214"/>
      <c r="D255" s="214"/>
      <c r="E255" s="214"/>
      <c r="F255" s="214"/>
    </row>
    <row r="256" spans="2:6" x14ac:dyDescent="0.3">
      <c r="B256" s="214"/>
      <c r="C256" s="214"/>
      <c r="D256" s="214"/>
      <c r="E256" s="214"/>
      <c r="F256" s="214"/>
    </row>
    <row r="257" spans="2:6" x14ac:dyDescent="0.3">
      <c r="B257" s="214"/>
      <c r="C257" s="214"/>
      <c r="D257" s="214"/>
      <c r="E257" s="214"/>
      <c r="F257" s="214"/>
    </row>
    <row r="258" spans="2:6" x14ac:dyDescent="0.3">
      <c r="B258" s="214"/>
      <c r="C258" s="214"/>
      <c r="D258" s="214"/>
      <c r="E258" s="214"/>
      <c r="F258" s="214"/>
    </row>
    <row r="259" spans="2:6" x14ac:dyDescent="0.3">
      <c r="B259" s="214"/>
      <c r="C259" s="214"/>
      <c r="D259" s="214"/>
      <c r="E259" s="214"/>
      <c r="F259" s="214"/>
    </row>
    <row r="260" spans="2:6" x14ac:dyDescent="0.3">
      <c r="B260" s="214"/>
      <c r="C260" s="214"/>
      <c r="D260" s="214"/>
      <c r="E260" s="214"/>
      <c r="F260" s="214"/>
    </row>
    <row r="261" spans="2:6" x14ac:dyDescent="0.3">
      <c r="B261" s="214"/>
      <c r="C261" s="214"/>
      <c r="D261" s="214"/>
      <c r="E261" s="214"/>
      <c r="F261" s="214"/>
    </row>
    <row r="262" spans="2:6" x14ac:dyDescent="0.3">
      <c r="B262" s="214"/>
      <c r="C262" s="214"/>
      <c r="D262" s="214"/>
      <c r="E262" s="214"/>
      <c r="F262" s="214"/>
    </row>
    <row r="263" spans="2:6" x14ac:dyDescent="0.3">
      <c r="B263" s="214"/>
      <c r="C263" s="214"/>
      <c r="D263" s="214"/>
      <c r="E263" s="214"/>
      <c r="F263" s="214"/>
    </row>
    <row r="264" spans="2:6" x14ac:dyDescent="0.3">
      <c r="B264" s="214"/>
      <c r="C264" s="214"/>
      <c r="D264" s="214"/>
      <c r="E264" s="214"/>
      <c r="F264" s="214"/>
    </row>
    <row r="265" spans="2:6" x14ac:dyDescent="0.3">
      <c r="B265" s="214"/>
      <c r="C265" s="214"/>
      <c r="D265" s="214"/>
      <c r="E265" s="214"/>
      <c r="F265" s="214"/>
    </row>
    <row r="266" spans="2:6" x14ac:dyDescent="0.3">
      <c r="B266" s="214"/>
      <c r="C266" s="214"/>
      <c r="D266" s="214"/>
      <c r="E266" s="214"/>
      <c r="F266" s="214"/>
    </row>
    <row r="267" spans="2:6" x14ac:dyDescent="0.3">
      <c r="B267" s="214"/>
      <c r="C267" s="214"/>
      <c r="D267" s="214"/>
      <c r="E267" s="214"/>
      <c r="F267" s="214"/>
    </row>
    <row r="268" spans="2:6" x14ac:dyDescent="0.3">
      <c r="B268" s="214"/>
      <c r="C268" s="214"/>
      <c r="D268" s="214"/>
      <c r="E268" s="214"/>
      <c r="F268" s="214"/>
    </row>
    <row r="269" spans="2:6" x14ac:dyDescent="0.3">
      <c r="B269" s="214"/>
      <c r="C269" s="214"/>
      <c r="D269" s="214"/>
      <c r="E269" s="214"/>
      <c r="F269" s="214"/>
    </row>
    <row r="270" spans="2:6" x14ac:dyDescent="0.3">
      <c r="B270" s="214"/>
      <c r="C270" s="214"/>
      <c r="D270" s="214"/>
      <c r="E270" s="214"/>
      <c r="F270" s="214"/>
    </row>
    <row r="271" spans="2:6" x14ac:dyDescent="0.3">
      <c r="B271" s="214"/>
      <c r="C271" s="214"/>
      <c r="D271" s="214"/>
      <c r="E271" s="214"/>
      <c r="F271" s="214"/>
    </row>
    <row r="272" spans="2:6" x14ac:dyDescent="0.3">
      <c r="B272" s="214"/>
      <c r="C272" s="214"/>
      <c r="D272" s="214"/>
      <c r="E272" s="214"/>
      <c r="F272" s="214"/>
    </row>
    <row r="273" spans="2:6" x14ac:dyDescent="0.3">
      <c r="B273" s="214"/>
      <c r="C273" s="214"/>
      <c r="D273" s="214"/>
      <c r="E273" s="214"/>
      <c r="F273" s="214"/>
    </row>
    <row r="274" spans="2:6" x14ac:dyDescent="0.3">
      <c r="B274" s="214"/>
      <c r="C274" s="214"/>
      <c r="D274" s="214"/>
      <c r="E274" s="214"/>
      <c r="F274" s="214"/>
    </row>
    <row r="275" spans="2:6" x14ac:dyDescent="0.3">
      <c r="B275" s="214"/>
      <c r="C275" s="214"/>
      <c r="D275" s="214"/>
      <c r="E275" s="214"/>
      <c r="F275" s="214"/>
    </row>
    <row r="276" spans="2:6" x14ac:dyDescent="0.3">
      <c r="B276" s="214"/>
      <c r="C276" s="214"/>
      <c r="D276" s="214"/>
      <c r="E276" s="214"/>
      <c r="F276" s="214"/>
    </row>
    <row r="277" spans="2:6" x14ac:dyDescent="0.3">
      <c r="B277" s="214"/>
      <c r="C277" s="214"/>
      <c r="D277" s="214"/>
      <c r="E277" s="214"/>
      <c r="F277" s="214"/>
    </row>
    <row r="278" spans="2:6" x14ac:dyDescent="0.3">
      <c r="B278" s="214"/>
      <c r="C278" s="214"/>
      <c r="D278" s="214"/>
      <c r="E278" s="214"/>
      <c r="F278" s="214"/>
    </row>
    <row r="279" spans="2:6" x14ac:dyDescent="0.3">
      <c r="B279" s="214"/>
      <c r="C279" s="214"/>
      <c r="D279" s="214"/>
      <c r="E279" s="214"/>
      <c r="F279" s="214"/>
    </row>
    <row r="280" spans="2:6" x14ac:dyDescent="0.3">
      <c r="B280" s="214"/>
      <c r="C280" s="214"/>
      <c r="D280" s="214"/>
      <c r="E280" s="214"/>
      <c r="F280" s="214"/>
    </row>
    <row r="281" spans="2:6" x14ac:dyDescent="0.3">
      <c r="B281" s="214"/>
      <c r="C281" s="214"/>
      <c r="D281" s="214"/>
      <c r="E281" s="214"/>
      <c r="F281" s="214"/>
    </row>
    <row r="282" spans="2:6" x14ac:dyDescent="0.3">
      <c r="B282" s="214"/>
      <c r="C282" s="214"/>
      <c r="D282" s="214"/>
      <c r="E282" s="214"/>
      <c r="F282" s="214"/>
    </row>
    <row r="283" spans="2:6" x14ac:dyDescent="0.3">
      <c r="B283" s="214"/>
      <c r="C283" s="214"/>
      <c r="D283" s="214"/>
      <c r="E283" s="214"/>
      <c r="F283" s="214"/>
    </row>
    <row r="284" spans="2:6" x14ac:dyDescent="0.3">
      <c r="B284" s="214"/>
      <c r="C284" s="214"/>
      <c r="D284" s="214"/>
      <c r="E284" s="214"/>
      <c r="F284" s="214"/>
    </row>
    <row r="285" spans="2:6" x14ac:dyDescent="0.3">
      <c r="B285" s="214"/>
      <c r="C285" s="214"/>
      <c r="D285" s="214"/>
      <c r="E285" s="214"/>
      <c r="F285" s="214"/>
    </row>
    <row r="286" spans="2:6" x14ac:dyDescent="0.3">
      <c r="B286" s="214"/>
      <c r="C286" s="214"/>
      <c r="D286" s="214"/>
      <c r="E286" s="214"/>
      <c r="F286" s="214"/>
    </row>
    <row r="287" spans="2:6" x14ac:dyDescent="0.3">
      <c r="B287" s="214"/>
      <c r="C287" s="214"/>
      <c r="D287" s="214"/>
      <c r="E287" s="214"/>
      <c r="F287" s="214"/>
    </row>
    <row r="288" spans="2:6" x14ac:dyDescent="0.3">
      <c r="B288" s="214"/>
      <c r="C288" s="214"/>
      <c r="D288" s="214"/>
      <c r="E288" s="214"/>
      <c r="F288" s="214"/>
    </row>
    <row r="289" spans="2:6" x14ac:dyDescent="0.3">
      <c r="B289" s="214"/>
      <c r="C289" s="214"/>
      <c r="D289" s="214"/>
      <c r="E289" s="214"/>
      <c r="F289" s="214"/>
    </row>
    <row r="290" spans="2:6" x14ac:dyDescent="0.3">
      <c r="B290" s="214"/>
      <c r="C290" s="214"/>
      <c r="D290" s="214"/>
      <c r="E290" s="214"/>
      <c r="F290" s="214"/>
    </row>
    <row r="291" spans="2:6" x14ac:dyDescent="0.3">
      <c r="B291" s="214"/>
      <c r="C291" s="214"/>
      <c r="D291" s="214"/>
      <c r="E291" s="214"/>
      <c r="F291" s="214"/>
    </row>
    <row r="292" spans="2:6" x14ac:dyDescent="0.3">
      <c r="B292" s="214"/>
      <c r="C292" s="214"/>
      <c r="D292" s="214"/>
      <c r="E292" s="214"/>
      <c r="F292" s="214"/>
    </row>
    <row r="293" spans="2:6" x14ac:dyDescent="0.3">
      <c r="B293" s="214"/>
      <c r="C293" s="214"/>
      <c r="D293" s="214"/>
      <c r="E293" s="214"/>
      <c r="F293" s="214"/>
    </row>
    <row r="294" spans="2:6" x14ac:dyDescent="0.3">
      <c r="B294" s="214"/>
      <c r="C294" s="214"/>
      <c r="D294" s="214"/>
      <c r="E294" s="214"/>
      <c r="F294" s="214"/>
    </row>
    <row r="295" spans="2:6" x14ac:dyDescent="0.3">
      <c r="B295" s="214"/>
      <c r="C295" s="214"/>
      <c r="D295" s="214"/>
      <c r="E295" s="214"/>
      <c r="F295" s="214"/>
    </row>
    <row r="296" spans="2:6" x14ac:dyDescent="0.3">
      <c r="B296" s="214"/>
      <c r="C296" s="214"/>
      <c r="D296" s="214"/>
      <c r="E296" s="214"/>
      <c r="F296" s="214"/>
    </row>
    <row r="297" spans="2:6" x14ac:dyDescent="0.3">
      <c r="B297" s="214"/>
      <c r="C297" s="214"/>
      <c r="D297" s="214"/>
      <c r="E297" s="214"/>
      <c r="F297" s="214"/>
    </row>
    <row r="298" spans="2:6" x14ac:dyDescent="0.3">
      <c r="B298" s="214"/>
      <c r="C298" s="214"/>
      <c r="D298" s="214"/>
      <c r="E298" s="214"/>
      <c r="F298" s="214"/>
    </row>
    <row r="299" spans="2:6" x14ac:dyDescent="0.3">
      <c r="B299" s="214"/>
      <c r="C299" s="214"/>
      <c r="D299" s="214"/>
      <c r="E299" s="214"/>
      <c r="F299" s="214"/>
    </row>
    <row r="300" spans="2:6" x14ac:dyDescent="0.3">
      <c r="B300" s="214"/>
      <c r="C300" s="214"/>
      <c r="D300" s="214"/>
      <c r="E300" s="214"/>
      <c r="F300" s="214"/>
    </row>
    <row r="301" spans="2:6" x14ac:dyDescent="0.3">
      <c r="B301" s="214"/>
      <c r="C301" s="214"/>
      <c r="D301" s="214"/>
      <c r="E301" s="214"/>
      <c r="F301" s="214"/>
    </row>
    <row r="302" spans="2:6" x14ac:dyDescent="0.3">
      <c r="B302" s="214"/>
      <c r="C302" s="214"/>
      <c r="D302" s="214"/>
      <c r="E302" s="214"/>
      <c r="F302" s="214"/>
    </row>
    <row r="303" spans="2:6" x14ac:dyDescent="0.3">
      <c r="B303" s="214"/>
      <c r="C303" s="214"/>
      <c r="D303" s="214"/>
      <c r="E303" s="214"/>
      <c r="F303" s="214"/>
    </row>
    <row r="304" spans="2:6" x14ac:dyDescent="0.3">
      <c r="B304" s="214"/>
      <c r="C304" s="214"/>
      <c r="D304" s="214"/>
      <c r="E304" s="214"/>
      <c r="F304" s="214"/>
    </row>
    <row r="305" spans="2:6" x14ac:dyDescent="0.3">
      <c r="B305" s="214"/>
      <c r="C305" s="214"/>
      <c r="D305" s="214"/>
      <c r="E305" s="214"/>
      <c r="F305" s="214"/>
    </row>
    <row r="306" spans="2:6" x14ac:dyDescent="0.3">
      <c r="B306" s="214"/>
      <c r="C306" s="214"/>
      <c r="D306" s="214"/>
      <c r="E306" s="214"/>
      <c r="F306" s="214"/>
    </row>
    <row r="307" spans="2:6" x14ac:dyDescent="0.3">
      <c r="B307" s="214"/>
      <c r="C307" s="214"/>
      <c r="D307" s="214"/>
      <c r="E307" s="214"/>
      <c r="F307" s="214"/>
    </row>
    <row r="308" spans="2:6" x14ac:dyDescent="0.3">
      <c r="B308" s="214"/>
      <c r="C308" s="214"/>
      <c r="D308" s="214"/>
      <c r="E308" s="214"/>
      <c r="F308" s="214"/>
    </row>
    <row r="309" spans="2:6" x14ac:dyDescent="0.3">
      <c r="B309" s="214"/>
      <c r="C309" s="214"/>
      <c r="D309" s="214"/>
      <c r="E309" s="214"/>
      <c r="F309" s="214"/>
    </row>
    <row r="310" spans="2:6" x14ac:dyDescent="0.3">
      <c r="B310" s="214"/>
      <c r="C310" s="214"/>
      <c r="D310" s="214"/>
      <c r="E310" s="214"/>
      <c r="F310" s="214"/>
    </row>
    <row r="311" spans="2:6" x14ac:dyDescent="0.3">
      <c r="B311" s="214"/>
      <c r="C311" s="214"/>
      <c r="D311" s="214"/>
      <c r="E311" s="214"/>
      <c r="F311" s="214"/>
    </row>
    <row r="312" spans="2:6" x14ac:dyDescent="0.3">
      <c r="B312" s="214"/>
      <c r="C312" s="214"/>
      <c r="D312" s="214"/>
      <c r="E312" s="214"/>
      <c r="F312" s="214"/>
    </row>
    <row r="313" spans="2:6" x14ac:dyDescent="0.3">
      <c r="B313" s="214"/>
      <c r="C313" s="214"/>
      <c r="D313" s="214"/>
      <c r="E313" s="214"/>
      <c r="F313" s="214"/>
    </row>
    <row r="314" spans="2:6" x14ac:dyDescent="0.3">
      <c r="B314" s="214"/>
      <c r="C314" s="214"/>
      <c r="D314" s="214"/>
      <c r="E314" s="214"/>
      <c r="F314" s="214"/>
    </row>
    <row r="315" spans="2:6" x14ac:dyDescent="0.3">
      <c r="B315" s="214"/>
      <c r="C315" s="214"/>
      <c r="D315" s="214"/>
      <c r="E315" s="214"/>
      <c r="F315" s="214"/>
    </row>
    <row r="316" spans="2:6" x14ac:dyDescent="0.3">
      <c r="B316" s="214"/>
      <c r="C316" s="214"/>
      <c r="D316" s="214"/>
      <c r="E316" s="214"/>
      <c r="F316" s="214"/>
    </row>
    <row r="317" spans="2:6" x14ac:dyDescent="0.3">
      <c r="B317" s="214"/>
      <c r="C317" s="214"/>
      <c r="D317" s="214"/>
      <c r="E317" s="214"/>
      <c r="F317" s="214"/>
    </row>
    <row r="318" spans="2:6" x14ac:dyDescent="0.3">
      <c r="B318" s="214"/>
      <c r="C318" s="214"/>
      <c r="D318" s="214"/>
      <c r="E318" s="214"/>
      <c r="F318" s="214"/>
    </row>
    <row r="319" spans="2:6" x14ac:dyDescent="0.3">
      <c r="B319" s="214"/>
      <c r="C319" s="214"/>
      <c r="D319" s="214"/>
      <c r="E319" s="214"/>
      <c r="F319" s="214"/>
    </row>
    <row r="320" spans="2:6" x14ac:dyDescent="0.3">
      <c r="B320" s="214"/>
      <c r="C320" s="214"/>
      <c r="D320" s="214"/>
      <c r="E320" s="214"/>
      <c r="F320" s="214"/>
    </row>
    <row r="321" spans="2:6" x14ac:dyDescent="0.3">
      <c r="B321" s="214"/>
      <c r="C321" s="214"/>
      <c r="D321" s="214"/>
      <c r="E321" s="214"/>
      <c r="F321" s="214"/>
    </row>
    <row r="322" spans="2:6" x14ac:dyDescent="0.3">
      <c r="B322" s="214"/>
      <c r="C322" s="214"/>
      <c r="D322" s="214"/>
      <c r="E322" s="214"/>
      <c r="F322" s="214"/>
    </row>
    <row r="323" spans="2:6" x14ac:dyDescent="0.3">
      <c r="B323" s="214"/>
      <c r="C323" s="214"/>
      <c r="D323" s="214"/>
      <c r="E323" s="214"/>
      <c r="F323" s="214"/>
    </row>
    <row r="324" spans="2:6" x14ac:dyDescent="0.3">
      <c r="B324" s="214"/>
      <c r="C324" s="214"/>
      <c r="D324" s="214"/>
      <c r="E324" s="214"/>
      <c r="F324" s="214"/>
    </row>
    <row r="325" spans="2:6" x14ac:dyDescent="0.3">
      <c r="B325" s="214"/>
      <c r="C325" s="214"/>
      <c r="D325" s="214"/>
      <c r="E325" s="214"/>
      <c r="F325" s="214"/>
    </row>
    <row r="326" spans="2:6" x14ac:dyDescent="0.3">
      <c r="B326" s="214"/>
      <c r="C326" s="214"/>
      <c r="D326" s="214"/>
      <c r="E326" s="214"/>
      <c r="F326" s="214"/>
    </row>
    <row r="327" spans="2:6" x14ac:dyDescent="0.3">
      <c r="B327" s="214"/>
      <c r="C327" s="214"/>
      <c r="D327" s="214"/>
      <c r="E327" s="214"/>
      <c r="F327" s="214"/>
    </row>
    <row r="328" spans="2:6" x14ac:dyDescent="0.3">
      <c r="B328" s="214"/>
      <c r="C328" s="214"/>
      <c r="D328" s="214"/>
      <c r="E328" s="214"/>
      <c r="F328" s="214"/>
    </row>
    <row r="329" spans="2:6" x14ac:dyDescent="0.3">
      <c r="B329" s="214"/>
      <c r="C329" s="214"/>
      <c r="D329" s="214"/>
      <c r="E329" s="214"/>
      <c r="F329" s="214"/>
    </row>
    <row r="330" spans="2:6" x14ac:dyDescent="0.3">
      <c r="B330" s="214"/>
      <c r="C330" s="214"/>
      <c r="D330" s="214"/>
      <c r="E330" s="214"/>
      <c r="F330" s="214"/>
    </row>
    <row r="331" spans="2:6" x14ac:dyDescent="0.3">
      <c r="B331" s="214"/>
      <c r="C331" s="214"/>
      <c r="D331" s="214"/>
      <c r="E331" s="214"/>
      <c r="F331" s="214"/>
    </row>
    <row r="332" spans="2:6" x14ac:dyDescent="0.3">
      <c r="B332" s="214"/>
      <c r="C332" s="214"/>
      <c r="D332" s="214"/>
      <c r="E332" s="214"/>
      <c r="F332" s="214"/>
    </row>
    <row r="333" spans="2:6" x14ac:dyDescent="0.3">
      <c r="B333" s="214"/>
      <c r="C333" s="214"/>
      <c r="D333" s="214"/>
      <c r="E333" s="214"/>
      <c r="F333" s="214"/>
    </row>
    <row r="334" spans="2:6" x14ac:dyDescent="0.3">
      <c r="B334" s="214"/>
      <c r="C334" s="214"/>
      <c r="D334" s="214"/>
      <c r="E334" s="214"/>
      <c r="F334" s="214"/>
    </row>
    <row r="335" spans="2:6" x14ac:dyDescent="0.3">
      <c r="B335" s="214"/>
      <c r="C335" s="214"/>
      <c r="D335" s="214"/>
      <c r="E335" s="214"/>
      <c r="F335" s="214"/>
    </row>
    <row r="336" spans="2:6" x14ac:dyDescent="0.3">
      <c r="B336" s="214"/>
      <c r="C336" s="214"/>
      <c r="D336" s="214"/>
      <c r="E336" s="214"/>
      <c r="F336" s="214"/>
    </row>
    <row r="337" spans="2:6" x14ac:dyDescent="0.3">
      <c r="B337" s="214"/>
      <c r="C337" s="214"/>
      <c r="D337" s="214"/>
      <c r="E337" s="214"/>
      <c r="F337" s="214"/>
    </row>
    <row r="338" spans="2:6" x14ac:dyDescent="0.3">
      <c r="B338" s="214"/>
      <c r="C338" s="214"/>
      <c r="D338" s="214"/>
      <c r="E338" s="214"/>
      <c r="F338" s="214"/>
    </row>
    <row r="339" spans="2:6" x14ac:dyDescent="0.3">
      <c r="B339" s="214"/>
      <c r="C339" s="214"/>
      <c r="D339" s="214"/>
      <c r="E339" s="214"/>
      <c r="F339" s="214"/>
    </row>
    <row r="340" spans="2:6" x14ac:dyDescent="0.3">
      <c r="B340" s="214"/>
      <c r="C340" s="214"/>
      <c r="D340" s="214"/>
      <c r="E340" s="214"/>
      <c r="F340" s="214"/>
    </row>
    <row r="341" spans="2:6" x14ac:dyDescent="0.3">
      <c r="B341" s="214"/>
      <c r="C341" s="214"/>
      <c r="D341" s="214"/>
      <c r="E341" s="214"/>
      <c r="F341" s="214"/>
    </row>
    <row r="342" spans="2:6" x14ac:dyDescent="0.3">
      <c r="B342" s="214"/>
      <c r="C342" s="214"/>
      <c r="D342" s="214"/>
      <c r="E342" s="214"/>
      <c r="F342" s="214"/>
    </row>
    <row r="343" spans="2:6" x14ac:dyDescent="0.3">
      <c r="B343" s="214"/>
      <c r="C343" s="214"/>
      <c r="D343" s="214"/>
      <c r="E343" s="214"/>
      <c r="F343" s="214"/>
    </row>
    <row r="344" spans="2:6" x14ac:dyDescent="0.3">
      <c r="B344" s="214"/>
      <c r="C344" s="214"/>
      <c r="D344" s="214"/>
      <c r="E344" s="214"/>
      <c r="F344" s="214"/>
    </row>
    <row r="345" spans="2:6" x14ac:dyDescent="0.3">
      <c r="B345" s="214"/>
      <c r="C345" s="214"/>
      <c r="D345" s="214"/>
      <c r="E345" s="214"/>
      <c r="F345" s="214"/>
    </row>
    <row r="346" spans="2:6" x14ac:dyDescent="0.3">
      <c r="B346" s="214"/>
      <c r="C346" s="214"/>
      <c r="D346" s="214"/>
      <c r="E346" s="214"/>
      <c r="F346" s="214"/>
    </row>
    <row r="347" spans="2:6" x14ac:dyDescent="0.3">
      <c r="B347" s="214"/>
      <c r="C347" s="214"/>
      <c r="D347" s="214"/>
      <c r="E347" s="214"/>
      <c r="F347" s="214"/>
    </row>
    <row r="348" spans="2:6" x14ac:dyDescent="0.3">
      <c r="B348" s="214"/>
      <c r="C348" s="214"/>
      <c r="D348" s="214"/>
      <c r="E348" s="214"/>
      <c r="F348" s="214"/>
    </row>
    <row r="349" spans="2:6" x14ac:dyDescent="0.3">
      <c r="B349" s="214"/>
      <c r="C349" s="214"/>
      <c r="D349" s="214"/>
      <c r="E349" s="214"/>
      <c r="F349" s="214"/>
    </row>
    <row r="350" spans="2:6" x14ac:dyDescent="0.3">
      <c r="B350" s="214"/>
      <c r="C350" s="214"/>
      <c r="D350" s="214"/>
      <c r="E350" s="214"/>
      <c r="F350" s="214"/>
    </row>
    <row r="351" spans="2:6" x14ac:dyDescent="0.3">
      <c r="B351" s="214"/>
      <c r="C351" s="214"/>
      <c r="D351" s="214"/>
      <c r="E351" s="214"/>
      <c r="F351" s="214"/>
    </row>
    <row r="352" spans="2:6" x14ac:dyDescent="0.3">
      <c r="B352" s="214"/>
      <c r="C352" s="214"/>
      <c r="D352" s="214"/>
      <c r="E352" s="214"/>
      <c r="F352" s="214"/>
    </row>
    <row r="353" spans="2:6" x14ac:dyDescent="0.3">
      <c r="B353" s="214"/>
      <c r="C353" s="214"/>
      <c r="D353" s="214"/>
      <c r="E353" s="214"/>
      <c r="F353" s="214"/>
    </row>
    <row r="354" spans="2:6" x14ac:dyDescent="0.3">
      <c r="B354" s="214"/>
      <c r="C354" s="214"/>
      <c r="D354" s="214"/>
      <c r="E354" s="214"/>
      <c r="F354" s="214"/>
    </row>
    <row r="355" spans="2:6" x14ac:dyDescent="0.3">
      <c r="B355" s="214"/>
      <c r="C355" s="214"/>
      <c r="D355" s="214"/>
      <c r="E355" s="214"/>
      <c r="F355" s="214"/>
    </row>
    <row r="356" spans="2:6" x14ac:dyDescent="0.3">
      <c r="B356" s="214"/>
      <c r="C356" s="214"/>
      <c r="D356" s="214"/>
      <c r="E356" s="214"/>
      <c r="F356" s="214"/>
    </row>
    <row r="357" spans="2:6" x14ac:dyDescent="0.3">
      <c r="B357" s="214"/>
      <c r="C357" s="214"/>
      <c r="D357" s="214"/>
      <c r="E357" s="214"/>
      <c r="F357" s="214"/>
    </row>
    <row r="358" spans="2:6" x14ac:dyDescent="0.3">
      <c r="B358" s="214"/>
      <c r="C358" s="214"/>
      <c r="D358" s="214"/>
      <c r="E358" s="214"/>
      <c r="F358" s="214"/>
    </row>
    <row r="359" spans="2:6" x14ac:dyDescent="0.3">
      <c r="B359" s="214"/>
      <c r="C359" s="214"/>
      <c r="D359" s="214"/>
      <c r="E359" s="214"/>
      <c r="F359" s="214"/>
    </row>
    <row r="360" spans="2:6" x14ac:dyDescent="0.3">
      <c r="B360" s="214"/>
      <c r="C360" s="214"/>
      <c r="D360" s="214"/>
      <c r="E360" s="214"/>
      <c r="F360" s="214"/>
    </row>
    <row r="361" spans="2:6" x14ac:dyDescent="0.3">
      <c r="B361" s="214"/>
      <c r="C361" s="214"/>
      <c r="D361" s="214"/>
      <c r="E361" s="214"/>
      <c r="F361" s="214"/>
    </row>
    <row r="362" spans="2:6" x14ac:dyDescent="0.3">
      <c r="B362" s="214"/>
      <c r="C362" s="214"/>
      <c r="D362" s="214"/>
      <c r="E362" s="214"/>
      <c r="F362" s="214"/>
    </row>
    <row r="363" spans="2:6" x14ac:dyDescent="0.3">
      <c r="B363" s="214"/>
      <c r="C363" s="214"/>
      <c r="D363" s="214"/>
      <c r="E363" s="214"/>
      <c r="F363" s="214"/>
    </row>
    <row r="364" spans="2:6" x14ac:dyDescent="0.3">
      <c r="B364" s="214"/>
      <c r="C364" s="214"/>
      <c r="D364" s="214"/>
      <c r="E364" s="214"/>
      <c r="F364" s="214"/>
    </row>
  </sheetData>
  <mergeCells count="4">
    <mergeCell ref="I4:S4"/>
    <mergeCell ref="A1:F1"/>
    <mergeCell ref="A4:F4"/>
    <mergeCell ref="A5:A6"/>
  </mergeCells>
  <conditionalFormatting sqref="L8:L1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{59C8224B-C0B5-8D4D-B21A-066F88AB85A6}</x14:id>
        </ext>
      </extLst>
    </cfRule>
  </conditionalFormatting>
  <conditionalFormatting sqref="L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{E19D842B-DEBA-E14C-9F93-9C1218E3F310}</x14:id>
        </ext>
      </extLst>
    </cfRule>
  </conditionalFormatting>
  <conditionalFormatting sqref="L21:L2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{C7BA0A21-96ED-534C-94F8-15F1944DBB33}</x14:id>
        </ext>
      </extLst>
    </cfRule>
  </conditionalFormatting>
  <conditionalFormatting sqref="L2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{FE78440F-7B6F-7C49-8321-86B3C84D0FC9}</x14:id>
        </ext>
      </extLst>
    </cfRule>
  </conditionalFormatting>
  <conditionalFormatting sqref="R8:R1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{2DB3B09E-C0F5-0642-9B9C-35D6C3834B12}</x14:id>
        </ext>
      </extLst>
    </cfRule>
  </conditionalFormatting>
  <conditionalFormatting sqref="R21:R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{1FCFED4F-C4D8-4844-9604-6C27CF34B8AD}</x14:id>
        </ext>
      </extLst>
    </cfRule>
  </conditionalFormatting>
  <dataValidations count="1">
    <dataValidation type="list" allowBlank="1" showInputMessage="1" showErrorMessage="1" sqref="C6" xr:uid="{3A9606B3-2D0C-EF4D-A21A-07BB919A6E78}">
      <formula1>"2023,2022,2021,2020,2019,2018,2017"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C8224B-C0B5-8D4D-B21A-066F88AB85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L8:L12</xm:sqref>
        </x14:conditionalFormatting>
        <x14:conditionalFormatting xmlns:xm="http://schemas.microsoft.com/office/excel/2006/main">
          <x14:cfRule type="dataBar" id="{E19D842B-DEBA-E14C-9F93-9C1218E3F3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7BA0A21-96ED-534C-94F8-15F1944DBB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L21:L23</xm:sqref>
        </x14:conditionalFormatting>
        <x14:conditionalFormatting xmlns:xm="http://schemas.microsoft.com/office/excel/2006/main">
          <x14:cfRule type="dataBar" id="{FE78440F-7B6F-7C49-8321-86B3C84D0F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DB3B09E-C0F5-0642-9B9C-35D6C3834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R8:R13</xm:sqref>
        </x14:conditionalFormatting>
        <x14:conditionalFormatting xmlns:xm="http://schemas.microsoft.com/office/excel/2006/main">
          <x14:cfRule type="dataBar" id="{1FCFED4F-C4D8-4844-9604-6C27CF34B8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R21:R23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FF85-A5B1-F94B-A63B-8F69798B5B44}">
  <sheetPr>
    <tabColor theme="0" tint="-0.14999847407452621"/>
  </sheetPr>
  <dimension ref="A1:Q360"/>
  <sheetViews>
    <sheetView topLeftCell="A7" workbookViewId="0">
      <selection activeCell="A27" sqref="A4:F28"/>
    </sheetView>
  </sheetViews>
  <sheetFormatPr defaultColWidth="10.796875" defaultRowHeight="15.6" x14ac:dyDescent="0.3"/>
  <cols>
    <col min="1" max="1" width="67.796875" style="2" customWidth="1"/>
    <col min="2" max="6" width="21.296875" style="2" bestFit="1" customWidth="1"/>
    <col min="7" max="8" width="10.796875" style="2"/>
    <col min="9" max="9" width="25" style="2" customWidth="1"/>
    <col min="10" max="10" width="7.296875" style="2" customWidth="1"/>
    <col min="11" max="14" width="22" style="2" customWidth="1"/>
    <col min="15" max="16384" width="10.796875" style="2"/>
  </cols>
  <sheetData>
    <row r="1" spans="1:17" ht="34.200000000000003" customHeight="1" x14ac:dyDescent="0.3">
      <c r="A1" s="229" t="s">
        <v>0</v>
      </c>
      <c r="B1" s="229"/>
      <c r="C1" s="229"/>
      <c r="D1" s="229"/>
      <c r="E1" s="229"/>
      <c r="F1" s="229"/>
    </row>
    <row r="2" spans="1:17" ht="31.2" customHeight="1" x14ac:dyDescent="0.45">
      <c r="A2" s="9" t="str">
        <f>'Cân đối kế toán '!A2</f>
        <v>Ngân hàng TMCP Ngoại thương Việt Nam</v>
      </c>
    </row>
    <row r="3" spans="1:17" ht="18" customHeight="1" x14ac:dyDescent="0.3">
      <c r="F3" s="3"/>
    </row>
    <row r="4" spans="1:17" x14ac:dyDescent="0.3">
      <c r="A4" s="218" t="s">
        <v>7</v>
      </c>
      <c r="B4" s="219">
        <v>2019</v>
      </c>
      <c r="C4" s="219">
        <v>2020</v>
      </c>
      <c r="D4" s="219">
        <v>2021</v>
      </c>
      <c r="E4" s="219">
        <v>2022</v>
      </c>
      <c r="F4" s="219">
        <v>2023</v>
      </c>
      <c r="K4" s="10"/>
      <c r="L4" s="10"/>
      <c r="M4" s="10"/>
      <c r="N4" s="10"/>
      <c r="O4" s="10"/>
      <c r="P4" s="10"/>
      <c r="Q4" s="10"/>
    </row>
    <row r="5" spans="1:17" x14ac:dyDescent="0.3">
      <c r="A5" s="216" t="s">
        <v>178</v>
      </c>
      <c r="B5" s="217">
        <v>67724.19</v>
      </c>
      <c r="C5" s="217">
        <v>69205.134000000005</v>
      </c>
      <c r="D5" s="217">
        <v>70749.001999999993</v>
      </c>
      <c r="E5" s="217">
        <v>88112.7</v>
      </c>
      <c r="F5" s="217">
        <v>108122.27800000001</v>
      </c>
      <c r="I5" s="11"/>
    </row>
    <row r="6" spans="1:17" x14ac:dyDescent="0.3">
      <c r="A6" s="216" t="s">
        <v>179</v>
      </c>
      <c r="B6" s="217">
        <v>-33146.839999999997</v>
      </c>
      <c r="C6" s="217">
        <v>-32919.659</v>
      </c>
      <c r="D6" s="217">
        <v>-28349.384999999998</v>
      </c>
      <c r="E6" s="217">
        <v>-34866.222000000002</v>
      </c>
      <c r="F6" s="217">
        <v>-54501.409</v>
      </c>
    </row>
    <row r="7" spans="1:17" x14ac:dyDescent="0.3">
      <c r="A7" s="216" t="s">
        <v>180</v>
      </c>
      <c r="B7" s="217">
        <v>34577.35</v>
      </c>
      <c r="C7" s="217">
        <v>36285.474999999999</v>
      </c>
      <c r="D7" s="217">
        <v>42399.616999999998</v>
      </c>
      <c r="E7" s="217">
        <v>53246.478000000003</v>
      </c>
      <c r="F7" s="217">
        <v>53620.868999999999</v>
      </c>
      <c r="I7" s="11"/>
    </row>
    <row r="8" spans="1:17" x14ac:dyDescent="0.3">
      <c r="A8" s="216" t="s">
        <v>181</v>
      </c>
      <c r="B8" s="217">
        <v>9002.5069999999996</v>
      </c>
      <c r="C8" s="217">
        <v>10588.163</v>
      </c>
      <c r="D8" s="217">
        <v>11286.516</v>
      </c>
      <c r="E8" s="217">
        <v>12425.007</v>
      </c>
      <c r="F8" s="217">
        <v>12632.739</v>
      </c>
    </row>
    <row r="9" spans="1:17" x14ac:dyDescent="0.3">
      <c r="A9" s="216" t="s">
        <v>182</v>
      </c>
      <c r="B9" s="217">
        <v>-4695.6629999999996</v>
      </c>
      <c r="C9" s="217">
        <v>-3980.846</v>
      </c>
      <c r="D9" s="217">
        <v>-3879.4430000000002</v>
      </c>
      <c r="E9" s="217">
        <v>-5585.9070000000002</v>
      </c>
      <c r="F9" s="217">
        <v>-6853.0159999999996</v>
      </c>
      <c r="I9" s="11"/>
    </row>
    <row r="10" spans="1:17" x14ac:dyDescent="0.3">
      <c r="A10" s="216" t="s">
        <v>183</v>
      </c>
      <c r="B10" s="217">
        <v>4306.8440000000001</v>
      </c>
      <c r="C10" s="217">
        <v>6607.317</v>
      </c>
      <c r="D10" s="217">
        <v>7407.0730000000003</v>
      </c>
      <c r="E10" s="217">
        <v>6839.1</v>
      </c>
      <c r="F10" s="217">
        <v>5779.723</v>
      </c>
    </row>
    <row r="11" spans="1:17" x14ac:dyDescent="0.3">
      <c r="A11" s="216" t="s">
        <v>184</v>
      </c>
      <c r="B11" s="217">
        <v>3378.2739999999999</v>
      </c>
      <c r="C11" s="217">
        <v>3906.3989999999999</v>
      </c>
      <c r="D11" s="217">
        <v>4374.82</v>
      </c>
      <c r="E11" s="217">
        <v>5768.4449999999997</v>
      </c>
      <c r="F11" s="217">
        <v>5660.0280000000002</v>
      </c>
      <c r="I11" s="11"/>
    </row>
    <row r="12" spans="1:17" x14ac:dyDescent="0.3">
      <c r="A12" s="216" t="s">
        <v>185</v>
      </c>
      <c r="B12" s="217">
        <v>145.982</v>
      </c>
      <c r="C12" s="217">
        <v>1.81</v>
      </c>
      <c r="D12" s="217">
        <v>104.114</v>
      </c>
      <c r="E12" s="217">
        <v>-115.194</v>
      </c>
      <c r="F12" s="217">
        <v>124.217</v>
      </c>
    </row>
    <row r="13" spans="1:17" x14ac:dyDescent="0.3">
      <c r="A13" s="216" t="s">
        <v>186</v>
      </c>
      <c r="B13" s="217">
        <v>7.04</v>
      </c>
      <c r="C13" s="217">
        <v>-9.8000000000000004E-2</v>
      </c>
      <c r="D13" s="217">
        <v>-85.126000000000005</v>
      </c>
      <c r="E13" s="217">
        <v>81.594999999999999</v>
      </c>
      <c r="F13" s="217">
        <v>0</v>
      </c>
    </row>
    <row r="14" spans="1:17" x14ac:dyDescent="0.3">
      <c r="A14" s="216" t="s">
        <v>187</v>
      </c>
      <c r="B14" s="217">
        <v>3427.7649999999999</v>
      </c>
      <c r="C14" s="217">
        <v>2544.7139999999999</v>
      </c>
      <c r="D14" s="217">
        <v>3100.37</v>
      </c>
      <c r="E14" s="217">
        <v>2928.3389999999999</v>
      </c>
      <c r="F14" s="217">
        <v>4050.1439999999998</v>
      </c>
      <c r="I14" s="12"/>
    </row>
    <row r="15" spans="1:17" x14ac:dyDescent="0.3">
      <c r="A15" s="216" t="s">
        <v>188</v>
      </c>
      <c r="B15" s="217">
        <v>-357.97</v>
      </c>
      <c r="C15" s="217">
        <v>-744.46100000000001</v>
      </c>
      <c r="D15" s="217">
        <v>-707.10900000000004</v>
      </c>
      <c r="E15" s="217">
        <v>-874.37800000000004</v>
      </c>
      <c r="F15" s="217">
        <v>-1777.9749999999999</v>
      </c>
    </row>
    <row r="16" spans="1:17" x14ac:dyDescent="0.3">
      <c r="A16" s="216" t="s">
        <v>189</v>
      </c>
      <c r="B16" s="217">
        <v>3069.7950000000001</v>
      </c>
      <c r="C16" s="217">
        <v>1800.2529999999999</v>
      </c>
      <c r="D16" s="217">
        <v>2393.261</v>
      </c>
      <c r="E16" s="217">
        <v>2053.9609999999998</v>
      </c>
      <c r="F16" s="217">
        <v>2272.1689999999999</v>
      </c>
      <c r="I16" s="11"/>
    </row>
    <row r="17" spans="1:6" x14ac:dyDescent="0.3">
      <c r="A17" s="216" t="s">
        <v>190</v>
      </c>
      <c r="B17" s="217">
        <v>245.096</v>
      </c>
      <c r="C17" s="217">
        <v>461.38499999999999</v>
      </c>
      <c r="D17" s="217">
        <v>129.81</v>
      </c>
      <c r="E17" s="217">
        <v>208.43600000000001</v>
      </c>
      <c r="F17" s="217">
        <v>266.45600000000002</v>
      </c>
    </row>
    <row r="18" spans="1:6" x14ac:dyDescent="0.3">
      <c r="A18" s="216" t="s">
        <v>191</v>
      </c>
      <c r="B18" s="217">
        <v>45730.381000000001</v>
      </c>
      <c r="C18" s="217">
        <v>49062.540999999997</v>
      </c>
      <c r="D18" s="217">
        <v>56723.569000000003</v>
      </c>
      <c r="E18" s="217">
        <v>68082.820999999996</v>
      </c>
      <c r="F18" s="217">
        <v>67723.462</v>
      </c>
    </row>
    <row r="19" spans="1:6" x14ac:dyDescent="0.3">
      <c r="A19" s="216" t="s">
        <v>192</v>
      </c>
      <c r="B19" s="217">
        <v>-15817.575000000001</v>
      </c>
      <c r="C19" s="217">
        <v>-16038.25</v>
      </c>
      <c r="D19" s="217">
        <v>-17574.187999999998</v>
      </c>
      <c r="E19" s="217">
        <v>-21250.511999999999</v>
      </c>
      <c r="F19" s="217">
        <v>-21914.899000000001</v>
      </c>
    </row>
    <row r="20" spans="1:6" x14ac:dyDescent="0.3">
      <c r="A20" s="216" t="s">
        <v>193</v>
      </c>
      <c r="B20" s="217">
        <v>29912.806</v>
      </c>
      <c r="C20" s="217">
        <v>33024.290999999997</v>
      </c>
      <c r="D20" s="217">
        <v>39149.381000000001</v>
      </c>
      <c r="E20" s="217">
        <v>46832.309000000001</v>
      </c>
      <c r="F20" s="217">
        <v>45808.563000000002</v>
      </c>
    </row>
    <row r="21" spans="1:6" x14ac:dyDescent="0.3">
      <c r="A21" s="216" t="s">
        <v>194</v>
      </c>
      <c r="B21" s="217">
        <v>-6790.4290000000001</v>
      </c>
      <c r="C21" s="217">
        <v>-9974.73</v>
      </c>
      <c r="D21" s="217">
        <v>-11760.800999999999</v>
      </c>
      <c r="E21" s="217">
        <v>-9464.2180000000008</v>
      </c>
      <c r="F21" s="217">
        <v>-4564.8760000000002</v>
      </c>
    </row>
    <row r="22" spans="1:6" x14ac:dyDescent="0.3">
      <c r="A22" s="216" t="s">
        <v>195</v>
      </c>
      <c r="B22" s="217">
        <v>23122.377</v>
      </c>
      <c r="C22" s="217">
        <v>23049.561000000002</v>
      </c>
      <c r="D22" s="217">
        <v>27388.58</v>
      </c>
      <c r="E22" s="217">
        <v>37368.091</v>
      </c>
      <c r="F22" s="217">
        <v>41243.686999999998</v>
      </c>
    </row>
    <row r="23" spans="1:6" x14ac:dyDescent="0.3">
      <c r="A23" s="216" t="s">
        <v>196</v>
      </c>
      <c r="B23" s="217">
        <v>-4992.4639999999999</v>
      </c>
      <c r="C23" s="217">
        <v>-5081.0680000000002</v>
      </c>
      <c r="D23" s="217">
        <v>-4547.3630000000003</v>
      </c>
      <c r="E23" s="217">
        <v>-8406.86</v>
      </c>
      <c r="F23" s="217">
        <v>-8079.4009999999998</v>
      </c>
    </row>
    <row r="24" spans="1:6" x14ac:dyDescent="0.3">
      <c r="A24" s="216" t="s">
        <v>197</v>
      </c>
      <c r="B24" s="217">
        <v>396.07499999999999</v>
      </c>
      <c r="C24" s="217">
        <v>504.02499999999998</v>
      </c>
      <c r="D24" s="217">
        <v>-902.17200000000003</v>
      </c>
      <c r="E24" s="217">
        <v>957.82299999999998</v>
      </c>
      <c r="F24" s="217">
        <v>-109.83799999999999</v>
      </c>
    </row>
    <row r="25" spans="1:6" x14ac:dyDescent="0.3">
      <c r="A25" s="216" t="s">
        <v>198</v>
      </c>
      <c r="B25" s="217">
        <v>-4596.3890000000001</v>
      </c>
      <c r="C25" s="217">
        <v>-4577.0429999999997</v>
      </c>
      <c r="D25" s="217">
        <v>-5449.5349999999999</v>
      </c>
      <c r="E25" s="217">
        <v>-7449.0370000000003</v>
      </c>
      <c r="F25" s="217">
        <v>-8189.2389999999996</v>
      </c>
    </row>
    <row r="26" spans="1:6" x14ac:dyDescent="0.3">
      <c r="A26" s="216" t="s">
        <v>199</v>
      </c>
      <c r="B26" s="217">
        <v>18525.988000000001</v>
      </c>
      <c r="C26" s="217">
        <v>18472.518</v>
      </c>
      <c r="D26" s="217">
        <v>21939.044999999998</v>
      </c>
      <c r="E26" s="217">
        <v>29919.054</v>
      </c>
      <c r="F26" s="217">
        <v>33054.447999999997</v>
      </c>
    </row>
    <row r="27" spans="1:6" x14ac:dyDescent="0.3">
      <c r="A27" s="216" t="s">
        <v>200</v>
      </c>
      <c r="B27" s="217">
        <v>15.09</v>
      </c>
      <c r="C27" s="217">
        <v>21.207000000000001</v>
      </c>
      <c r="D27" s="217">
        <v>20.231999999999999</v>
      </c>
      <c r="E27" s="217">
        <v>20.04</v>
      </c>
      <c r="F27" s="217">
        <v>21.245000000000001</v>
      </c>
    </row>
    <row r="28" spans="1:6" x14ac:dyDescent="0.3">
      <c r="A28" s="216" t="s">
        <v>201</v>
      </c>
      <c r="B28" s="217">
        <v>18510.898000000001</v>
      </c>
      <c r="C28" s="217">
        <v>18451.311000000002</v>
      </c>
      <c r="D28" s="217">
        <v>21918.812999999998</v>
      </c>
      <c r="E28" s="217">
        <v>29899.013999999999</v>
      </c>
      <c r="F28" s="217">
        <v>33033.203000000001</v>
      </c>
    </row>
    <row r="29" spans="1:6" x14ac:dyDescent="0.3">
      <c r="A29" s="7"/>
      <c r="B29" s="7"/>
      <c r="C29" s="7"/>
      <c r="D29" s="7"/>
      <c r="E29" s="7"/>
      <c r="F29" s="7"/>
    </row>
    <row r="30" spans="1:6" x14ac:dyDescent="0.3">
      <c r="A30" s="7"/>
      <c r="B30" s="7"/>
      <c r="C30" s="7"/>
      <c r="D30" s="7"/>
      <c r="E30" s="7"/>
      <c r="F30" s="7"/>
    </row>
    <row r="31" spans="1:6" x14ac:dyDescent="0.3">
      <c r="A31" s="7"/>
      <c r="B31" s="7"/>
      <c r="C31" s="7"/>
      <c r="D31" s="7"/>
      <c r="E31" s="7"/>
      <c r="F31" s="7"/>
    </row>
    <row r="32" spans="1:6" x14ac:dyDescent="0.3">
      <c r="A32" s="7"/>
      <c r="B32" s="7"/>
      <c r="C32" s="7"/>
      <c r="D32" s="7"/>
      <c r="E32" s="7"/>
      <c r="F32" s="7"/>
    </row>
    <row r="33" spans="1:6" x14ac:dyDescent="0.3">
      <c r="A33" s="7"/>
      <c r="B33" s="7"/>
      <c r="C33" s="7"/>
      <c r="D33" s="7"/>
      <c r="E33" s="7"/>
      <c r="F33" s="7"/>
    </row>
    <row r="34" spans="1:6" x14ac:dyDescent="0.3">
      <c r="A34" s="7"/>
      <c r="B34" s="7"/>
      <c r="C34" s="7"/>
      <c r="D34" s="7"/>
      <c r="E34" s="7"/>
      <c r="F34" s="7"/>
    </row>
    <row r="35" spans="1:6" x14ac:dyDescent="0.3">
      <c r="A35" s="7"/>
      <c r="B35" s="7"/>
      <c r="C35" s="7"/>
      <c r="D35" s="7"/>
      <c r="E35" s="7"/>
      <c r="F35" s="7"/>
    </row>
    <row r="36" spans="1:6" x14ac:dyDescent="0.3">
      <c r="A36" s="7"/>
      <c r="B36" s="7"/>
      <c r="C36" s="7"/>
      <c r="D36" s="7"/>
      <c r="E36" s="7"/>
      <c r="F36" s="7"/>
    </row>
    <row r="37" spans="1:6" x14ac:dyDescent="0.3">
      <c r="A37" s="7"/>
      <c r="B37" s="7"/>
      <c r="C37" s="7"/>
      <c r="D37" s="7"/>
      <c r="E37" s="7"/>
      <c r="F37" s="7"/>
    </row>
    <row r="38" spans="1:6" x14ac:dyDescent="0.3">
      <c r="A38" s="7"/>
      <c r="B38" s="7"/>
      <c r="C38" s="7"/>
      <c r="D38" s="7"/>
      <c r="E38" s="7"/>
      <c r="F38" s="7"/>
    </row>
    <row r="39" spans="1:6" x14ac:dyDescent="0.3">
      <c r="A39" s="7"/>
      <c r="B39" s="7"/>
      <c r="C39" s="7"/>
      <c r="D39" s="7"/>
      <c r="E39" s="7"/>
      <c r="F39" s="7"/>
    </row>
    <row r="40" spans="1:6" x14ac:dyDescent="0.3">
      <c r="A40" s="7"/>
      <c r="B40" s="7"/>
      <c r="C40" s="7"/>
      <c r="D40" s="7"/>
      <c r="E40" s="7"/>
      <c r="F40" s="7"/>
    </row>
    <row r="41" spans="1:6" x14ac:dyDescent="0.3">
      <c r="A41" s="7"/>
      <c r="B41" s="7"/>
      <c r="C41" s="7"/>
      <c r="D41" s="7"/>
      <c r="E41" s="7"/>
      <c r="F41" s="7"/>
    </row>
    <row r="42" spans="1:6" x14ac:dyDescent="0.3">
      <c r="A42" s="7"/>
      <c r="B42" s="7"/>
      <c r="C42" s="7"/>
      <c r="D42" s="7"/>
      <c r="E42" s="7"/>
      <c r="F42" s="7"/>
    </row>
    <row r="43" spans="1:6" x14ac:dyDescent="0.3">
      <c r="A43" s="7"/>
      <c r="B43" s="7"/>
      <c r="C43" s="7"/>
      <c r="D43" s="7"/>
      <c r="E43" s="7"/>
      <c r="F43" s="7"/>
    </row>
    <row r="44" spans="1:6" x14ac:dyDescent="0.3">
      <c r="A44" s="7"/>
      <c r="B44" s="7"/>
      <c r="C44" s="7"/>
      <c r="D44" s="7"/>
      <c r="E44" s="7"/>
      <c r="F44" s="7"/>
    </row>
    <row r="45" spans="1:6" x14ac:dyDescent="0.3">
      <c r="A45" s="7"/>
      <c r="B45" s="7"/>
      <c r="C45" s="7"/>
      <c r="D45" s="7"/>
      <c r="E45" s="7"/>
      <c r="F45" s="7"/>
    </row>
    <row r="46" spans="1:6" x14ac:dyDescent="0.3">
      <c r="A46" s="7"/>
      <c r="B46" s="7"/>
      <c r="C46" s="7"/>
      <c r="D46" s="7"/>
      <c r="E46" s="7"/>
      <c r="F46" s="7"/>
    </row>
    <row r="47" spans="1:6" x14ac:dyDescent="0.3">
      <c r="A47" s="7"/>
      <c r="B47" s="7"/>
      <c r="C47" s="7"/>
      <c r="D47" s="7"/>
      <c r="E47" s="7"/>
      <c r="F47" s="7"/>
    </row>
    <row r="48" spans="1:6" x14ac:dyDescent="0.3">
      <c r="A48" s="7"/>
      <c r="B48" s="7"/>
      <c r="C48" s="7"/>
      <c r="D48" s="7"/>
      <c r="E48" s="7"/>
      <c r="F48" s="7"/>
    </row>
    <row r="49" spans="1:6" x14ac:dyDescent="0.3">
      <c r="A49" s="7"/>
      <c r="B49" s="7"/>
      <c r="C49" s="7"/>
      <c r="D49" s="7"/>
      <c r="E49" s="7"/>
      <c r="F49" s="7"/>
    </row>
    <row r="50" spans="1:6" x14ac:dyDescent="0.3">
      <c r="A50" s="7"/>
      <c r="B50" s="7"/>
      <c r="C50" s="7"/>
      <c r="D50" s="7"/>
      <c r="E50" s="7"/>
      <c r="F50" s="7"/>
    </row>
    <row r="51" spans="1:6" x14ac:dyDescent="0.3">
      <c r="A51" s="7"/>
      <c r="B51" s="7"/>
      <c r="C51" s="7"/>
      <c r="D51" s="7"/>
      <c r="E51" s="7"/>
      <c r="F51" s="7"/>
    </row>
    <row r="52" spans="1:6" x14ac:dyDescent="0.3">
      <c r="A52" s="7"/>
      <c r="B52" s="7"/>
      <c r="C52" s="7"/>
      <c r="D52" s="7"/>
      <c r="E52" s="7"/>
      <c r="F52" s="7"/>
    </row>
    <row r="53" spans="1:6" x14ac:dyDescent="0.3">
      <c r="A53" s="7"/>
      <c r="B53" s="7"/>
      <c r="C53" s="7"/>
      <c r="D53" s="7"/>
      <c r="E53" s="7"/>
      <c r="F53" s="7"/>
    </row>
    <row r="54" spans="1:6" x14ac:dyDescent="0.3">
      <c r="A54" s="7"/>
      <c r="B54" s="7"/>
      <c r="C54" s="7"/>
      <c r="D54" s="7"/>
      <c r="E54" s="7"/>
      <c r="F54" s="7"/>
    </row>
    <row r="55" spans="1:6" x14ac:dyDescent="0.3">
      <c r="A55" s="7"/>
      <c r="B55" s="7"/>
      <c r="C55" s="7"/>
      <c r="D55" s="7"/>
      <c r="E55" s="7"/>
      <c r="F55" s="7"/>
    </row>
    <row r="56" spans="1:6" x14ac:dyDescent="0.3">
      <c r="A56" s="7"/>
      <c r="B56" s="7"/>
      <c r="C56" s="7"/>
      <c r="D56" s="7"/>
      <c r="E56" s="7"/>
      <c r="F56" s="7"/>
    </row>
    <row r="57" spans="1:6" x14ac:dyDescent="0.3">
      <c r="A57" s="7"/>
      <c r="B57" s="7"/>
      <c r="C57" s="7"/>
      <c r="D57" s="7"/>
      <c r="E57" s="7"/>
      <c r="F57" s="7"/>
    </row>
    <row r="58" spans="1:6" x14ac:dyDescent="0.3">
      <c r="A58" s="7"/>
      <c r="B58" s="7"/>
      <c r="C58" s="7"/>
      <c r="D58" s="7"/>
      <c r="E58" s="7"/>
      <c r="F58" s="7"/>
    </row>
    <row r="59" spans="1:6" x14ac:dyDescent="0.3">
      <c r="A59" s="7"/>
      <c r="B59" s="7"/>
      <c r="C59" s="7"/>
      <c r="D59" s="7"/>
      <c r="E59" s="7"/>
      <c r="F59" s="7"/>
    </row>
    <row r="60" spans="1:6" x14ac:dyDescent="0.3">
      <c r="A60" s="7"/>
      <c r="B60" s="7"/>
      <c r="C60" s="7"/>
      <c r="D60" s="7"/>
      <c r="E60" s="7"/>
      <c r="F60" s="7"/>
    </row>
    <row r="61" spans="1:6" x14ac:dyDescent="0.3">
      <c r="A61" s="7"/>
      <c r="B61" s="7"/>
      <c r="C61" s="7"/>
      <c r="D61" s="7"/>
      <c r="E61" s="7"/>
      <c r="F61" s="7"/>
    </row>
    <row r="62" spans="1:6" x14ac:dyDescent="0.3">
      <c r="A62" s="7"/>
      <c r="B62" s="7"/>
      <c r="C62" s="7"/>
      <c r="D62" s="7"/>
      <c r="E62" s="7"/>
      <c r="F62" s="7"/>
    </row>
    <row r="63" spans="1:6" x14ac:dyDescent="0.3">
      <c r="A63" s="7"/>
      <c r="B63" s="7"/>
      <c r="C63" s="7"/>
      <c r="D63" s="7"/>
      <c r="E63" s="7"/>
      <c r="F63" s="7"/>
    </row>
    <row r="64" spans="1:6" x14ac:dyDescent="0.3">
      <c r="A64" s="7"/>
      <c r="B64" s="7"/>
      <c r="C64" s="7"/>
      <c r="D64" s="7"/>
      <c r="E64" s="7"/>
      <c r="F64" s="7"/>
    </row>
    <row r="65" spans="1:6" x14ac:dyDescent="0.3">
      <c r="A65" s="7"/>
      <c r="B65" s="7"/>
      <c r="C65" s="7"/>
      <c r="D65" s="7"/>
      <c r="E65" s="7"/>
      <c r="F65" s="7"/>
    </row>
    <row r="66" spans="1:6" x14ac:dyDescent="0.3">
      <c r="A66" s="7"/>
      <c r="B66" s="7"/>
      <c r="C66" s="7"/>
      <c r="D66" s="7"/>
      <c r="E66" s="7"/>
      <c r="F66" s="7"/>
    </row>
    <row r="67" spans="1:6" x14ac:dyDescent="0.3">
      <c r="A67" s="7"/>
      <c r="B67" s="7"/>
      <c r="C67" s="7"/>
      <c r="D67" s="7"/>
      <c r="E67" s="7"/>
      <c r="F67" s="7"/>
    </row>
    <row r="68" spans="1:6" x14ac:dyDescent="0.3">
      <c r="A68" s="7"/>
      <c r="B68" s="7"/>
      <c r="C68" s="7"/>
      <c r="D68" s="7"/>
      <c r="E68" s="7"/>
      <c r="F68" s="7"/>
    </row>
    <row r="69" spans="1:6" x14ac:dyDescent="0.3">
      <c r="A69" s="7"/>
      <c r="B69" s="7"/>
      <c r="C69" s="7"/>
      <c r="D69" s="7"/>
      <c r="E69" s="7"/>
      <c r="F69" s="7"/>
    </row>
    <row r="70" spans="1:6" x14ac:dyDescent="0.3">
      <c r="A70" s="7"/>
      <c r="B70" s="7"/>
      <c r="C70" s="7"/>
      <c r="D70" s="7"/>
      <c r="E70" s="7"/>
      <c r="F70" s="7"/>
    </row>
    <row r="71" spans="1:6" x14ac:dyDescent="0.3">
      <c r="A71" s="7"/>
      <c r="B71" s="7"/>
      <c r="C71" s="7"/>
      <c r="D71" s="7"/>
      <c r="E71" s="7"/>
      <c r="F71" s="7"/>
    </row>
    <row r="72" spans="1:6" x14ac:dyDescent="0.3">
      <c r="A72" s="7"/>
      <c r="B72" s="7"/>
      <c r="C72" s="7"/>
      <c r="D72" s="7"/>
      <c r="E72" s="7"/>
      <c r="F72" s="7"/>
    </row>
    <row r="73" spans="1:6" x14ac:dyDescent="0.3">
      <c r="A73" s="7"/>
      <c r="B73" s="7"/>
      <c r="C73" s="7"/>
      <c r="D73" s="7"/>
      <c r="E73" s="7"/>
      <c r="F73" s="7"/>
    </row>
    <row r="74" spans="1:6" x14ac:dyDescent="0.3">
      <c r="A74" s="7"/>
      <c r="B74" s="7"/>
      <c r="C74" s="7"/>
      <c r="D74" s="7"/>
      <c r="E74" s="7"/>
      <c r="F74" s="7"/>
    </row>
    <row r="75" spans="1:6" ht="16.95" customHeight="1" x14ac:dyDescent="0.3">
      <c r="A75" s="3"/>
      <c r="B75" s="5"/>
      <c r="C75" s="5"/>
      <c r="D75" s="5"/>
      <c r="E75" s="5"/>
      <c r="F75" s="5"/>
    </row>
    <row r="76" spans="1:6" x14ac:dyDescent="0.3">
      <c r="A76" s="3"/>
      <c r="B76" s="5"/>
      <c r="C76" s="5"/>
      <c r="D76" s="5"/>
      <c r="E76" s="5"/>
      <c r="F76" s="5"/>
    </row>
    <row r="77" spans="1:6" x14ac:dyDescent="0.3">
      <c r="A77" s="3"/>
      <c r="B77" s="5"/>
      <c r="C77" s="5"/>
      <c r="D77" s="5"/>
      <c r="E77" s="5"/>
      <c r="F77" s="5"/>
    </row>
    <row r="78" spans="1:6" x14ac:dyDescent="0.3">
      <c r="A78" s="3"/>
      <c r="B78" s="5"/>
      <c r="C78" s="5"/>
      <c r="D78" s="5"/>
      <c r="E78" s="5"/>
      <c r="F78" s="5"/>
    </row>
    <row r="79" spans="1:6" x14ac:dyDescent="0.3">
      <c r="A79" s="3"/>
      <c r="B79" s="5"/>
      <c r="C79" s="5"/>
      <c r="D79" s="5"/>
      <c r="E79" s="5"/>
      <c r="F79" s="5"/>
    </row>
    <row r="80" spans="1:6" x14ac:dyDescent="0.3">
      <c r="A80" s="3"/>
      <c r="B80" s="5"/>
      <c r="C80" s="5"/>
      <c r="D80" s="5"/>
      <c r="E80" s="5"/>
      <c r="F80" s="5"/>
    </row>
    <row r="81" spans="1:6" x14ac:dyDescent="0.3">
      <c r="A81" s="3"/>
      <c r="B81" s="5"/>
      <c r="C81" s="5"/>
      <c r="D81" s="5"/>
      <c r="E81" s="5"/>
      <c r="F81" s="5"/>
    </row>
    <row r="82" spans="1:6" x14ac:dyDescent="0.3">
      <c r="A82" s="3"/>
      <c r="B82" s="5"/>
      <c r="C82" s="5"/>
      <c r="D82" s="5"/>
      <c r="E82" s="5"/>
      <c r="F82" s="5"/>
    </row>
    <row r="83" spans="1:6" x14ac:dyDescent="0.3">
      <c r="A83" s="3"/>
      <c r="B83" s="5"/>
      <c r="C83" s="5"/>
      <c r="D83" s="5"/>
      <c r="E83" s="5"/>
      <c r="F83" s="5"/>
    </row>
    <row r="84" spans="1:6" x14ac:dyDescent="0.3">
      <c r="A84" s="3"/>
      <c r="B84" s="5"/>
      <c r="C84" s="5"/>
      <c r="D84" s="5"/>
      <c r="E84" s="5"/>
      <c r="F84" s="5"/>
    </row>
    <row r="85" spans="1:6" x14ac:dyDescent="0.3">
      <c r="A85" s="3"/>
      <c r="B85" s="6"/>
      <c r="C85" s="6"/>
      <c r="D85" s="6"/>
      <c r="E85" s="6"/>
      <c r="F85" s="6"/>
    </row>
    <row r="86" spans="1:6" x14ac:dyDescent="0.3">
      <c r="A86" s="3"/>
      <c r="B86" s="5"/>
      <c r="C86" s="5"/>
      <c r="D86" s="5"/>
      <c r="E86" s="5"/>
      <c r="F86" s="5"/>
    </row>
    <row r="87" spans="1:6" x14ac:dyDescent="0.3">
      <c r="A87" s="3"/>
      <c r="B87" s="5"/>
      <c r="C87" s="5"/>
      <c r="D87" s="5"/>
      <c r="E87" s="5"/>
      <c r="F87" s="5"/>
    </row>
    <row r="88" spans="1:6" x14ac:dyDescent="0.3">
      <c r="A88" s="3"/>
      <c r="B88" s="5"/>
      <c r="C88" s="5"/>
      <c r="D88" s="5"/>
      <c r="E88" s="5"/>
      <c r="F88" s="5"/>
    </row>
    <row r="89" spans="1:6" x14ac:dyDescent="0.3">
      <c r="A89" s="3"/>
      <c r="B89" s="5"/>
      <c r="C89" s="5"/>
      <c r="D89" s="5"/>
      <c r="E89" s="5"/>
      <c r="F89" s="5"/>
    </row>
    <row r="90" spans="1:6" x14ac:dyDescent="0.3">
      <c r="A90" s="3"/>
      <c r="B90" s="5"/>
      <c r="C90" s="5"/>
      <c r="D90" s="5"/>
      <c r="E90" s="5"/>
      <c r="F90" s="5"/>
    </row>
    <row r="91" spans="1:6" x14ac:dyDescent="0.3">
      <c r="A91" s="3"/>
      <c r="B91" s="5"/>
      <c r="C91" s="5"/>
      <c r="D91" s="5"/>
      <c r="E91" s="5"/>
      <c r="F91" s="5"/>
    </row>
    <row r="92" spans="1:6" x14ac:dyDescent="0.3">
      <c r="A92" s="3"/>
      <c r="B92" s="5"/>
      <c r="C92" s="5"/>
      <c r="D92" s="5"/>
      <c r="E92" s="5"/>
      <c r="F92" s="5"/>
    </row>
    <row r="93" spans="1:6" x14ac:dyDescent="0.3">
      <c r="A93" s="3"/>
      <c r="B93" s="5"/>
      <c r="C93" s="5"/>
      <c r="D93" s="5"/>
      <c r="E93" s="5"/>
      <c r="F93" s="5"/>
    </row>
    <row r="94" spans="1:6" x14ac:dyDescent="0.3">
      <c r="A94" s="3"/>
      <c r="B94" s="5"/>
      <c r="C94" s="5"/>
      <c r="D94" s="5"/>
      <c r="E94" s="5"/>
      <c r="F94" s="5"/>
    </row>
    <row r="95" spans="1:6" x14ac:dyDescent="0.3">
      <c r="A95" s="3"/>
      <c r="B95" s="5"/>
      <c r="C95" s="5"/>
      <c r="D95" s="5"/>
      <c r="E95" s="5"/>
      <c r="F95" s="5"/>
    </row>
    <row r="96" spans="1:6" x14ac:dyDescent="0.3">
      <c r="A96" s="3"/>
      <c r="B96" s="5"/>
      <c r="C96" s="5"/>
      <c r="D96" s="5"/>
      <c r="E96" s="5"/>
      <c r="F96" s="5"/>
    </row>
    <row r="97" spans="1:6" x14ac:dyDescent="0.3">
      <c r="A97" s="3"/>
      <c r="B97" s="5"/>
      <c r="C97" s="5"/>
      <c r="D97" s="5"/>
      <c r="E97" s="5"/>
      <c r="F97" s="5"/>
    </row>
    <row r="98" spans="1:6" x14ac:dyDescent="0.3">
      <c r="A98" s="3"/>
      <c r="B98" s="5"/>
      <c r="C98" s="5"/>
      <c r="D98" s="5"/>
      <c r="E98" s="5"/>
      <c r="F98" s="5"/>
    </row>
    <row r="99" spans="1:6" x14ac:dyDescent="0.3">
      <c r="A99" s="3"/>
      <c r="B99" s="6"/>
      <c r="C99" s="6"/>
      <c r="D99" s="6"/>
      <c r="E99" s="6"/>
      <c r="F99" s="6"/>
    </row>
    <row r="100" spans="1:6" x14ac:dyDescent="0.3">
      <c r="A100" s="3"/>
      <c r="B100" s="6"/>
      <c r="C100" s="6"/>
      <c r="D100" s="6"/>
      <c r="E100" s="6"/>
      <c r="F100" s="6"/>
    </row>
    <row r="101" spans="1:6" x14ac:dyDescent="0.3">
      <c r="A101" s="3"/>
      <c r="B101" s="5"/>
      <c r="C101" s="5"/>
      <c r="D101" s="5"/>
      <c r="E101" s="5"/>
      <c r="F101" s="5"/>
    </row>
    <row r="102" spans="1:6" x14ac:dyDescent="0.3">
      <c r="A102" s="3"/>
      <c r="B102" s="5"/>
      <c r="C102" s="5"/>
      <c r="D102" s="5"/>
      <c r="E102" s="5"/>
      <c r="F102" s="5"/>
    </row>
    <row r="103" spans="1:6" x14ac:dyDescent="0.3">
      <c r="A103" s="3"/>
      <c r="B103" s="5"/>
      <c r="C103" s="5"/>
      <c r="D103" s="5"/>
      <c r="E103" s="5"/>
      <c r="F103" s="5"/>
    </row>
    <row r="104" spans="1:6" x14ac:dyDescent="0.3">
      <c r="A104" s="3"/>
      <c r="B104" s="5"/>
      <c r="C104" s="5"/>
      <c r="D104" s="5"/>
      <c r="E104" s="5"/>
      <c r="F104" s="5"/>
    </row>
    <row r="105" spans="1:6" x14ac:dyDescent="0.3">
      <c r="A105" s="3"/>
      <c r="B105" s="5"/>
      <c r="C105" s="5"/>
      <c r="D105" s="5"/>
      <c r="E105" s="5"/>
      <c r="F105" s="5"/>
    </row>
    <row r="106" spans="1:6" x14ac:dyDescent="0.3">
      <c r="A106" s="3"/>
      <c r="B106" s="5"/>
      <c r="C106" s="5"/>
      <c r="D106" s="5"/>
      <c r="E106" s="5"/>
      <c r="F106" s="5"/>
    </row>
    <row r="107" spans="1:6" x14ac:dyDescent="0.3">
      <c r="A107" s="3"/>
      <c r="B107" s="5"/>
      <c r="C107" s="5"/>
      <c r="D107" s="5"/>
      <c r="E107" s="5"/>
      <c r="F107" s="5"/>
    </row>
    <row r="108" spans="1:6" x14ac:dyDescent="0.3">
      <c r="A108" s="3"/>
      <c r="B108" s="5"/>
      <c r="C108" s="5"/>
      <c r="D108" s="5"/>
      <c r="E108" s="5"/>
      <c r="F108" s="5"/>
    </row>
    <row r="109" spans="1:6" x14ac:dyDescent="0.3">
      <c r="A109" s="3"/>
      <c r="B109" s="5"/>
      <c r="C109" s="5"/>
      <c r="D109" s="5"/>
      <c r="E109" s="5"/>
      <c r="F109" s="5"/>
    </row>
    <row r="110" spans="1:6" x14ac:dyDescent="0.3">
      <c r="A110" s="3"/>
      <c r="B110" s="5"/>
      <c r="C110" s="5"/>
      <c r="D110" s="5"/>
      <c r="E110" s="5"/>
      <c r="F110" s="5"/>
    </row>
    <row r="111" spans="1:6" x14ac:dyDescent="0.3">
      <c r="A111" s="3"/>
      <c r="B111" s="5"/>
      <c r="C111" s="5"/>
      <c r="D111" s="5"/>
      <c r="E111" s="5"/>
      <c r="F111" s="5"/>
    </row>
    <row r="112" spans="1:6" x14ac:dyDescent="0.3">
      <c r="A112" s="3"/>
      <c r="B112" s="5"/>
      <c r="C112" s="5"/>
      <c r="D112" s="5"/>
      <c r="E112" s="5"/>
      <c r="F112" s="5"/>
    </row>
    <row r="113" spans="1:6" x14ac:dyDescent="0.3">
      <c r="A113" s="3"/>
      <c r="B113" s="5"/>
      <c r="C113" s="5"/>
      <c r="D113" s="5"/>
      <c r="E113" s="5"/>
      <c r="F113" s="5"/>
    </row>
    <row r="114" spans="1:6" x14ac:dyDescent="0.3">
      <c r="A114" s="3"/>
      <c r="B114" s="5"/>
      <c r="C114" s="5"/>
      <c r="D114" s="5"/>
      <c r="E114" s="5"/>
      <c r="F114" s="5"/>
    </row>
    <row r="115" spans="1:6" x14ac:dyDescent="0.3">
      <c r="A115" s="3"/>
      <c r="B115" s="5"/>
      <c r="C115" s="5"/>
      <c r="D115" s="5"/>
      <c r="E115" s="5"/>
      <c r="F115" s="5"/>
    </row>
    <row r="116" spans="1:6" x14ac:dyDescent="0.3">
      <c r="A116" s="3"/>
      <c r="B116" s="5"/>
      <c r="C116" s="5"/>
      <c r="D116" s="5"/>
      <c r="E116" s="5"/>
      <c r="F116" s="5"/>
    </row>
    <row r="117" spans="1:6" x14ac:dyDescent="0.3">
      <c r="A117" s="3"/>
      <c r="B117" s="6"/>
      <c r="C117" s="6"/>
      <c r="D117" s="6"/>
      <c r="E117" s="6"/>
      <c r="F117" s="6"/>
    </row>
    <row r="118" spans="1:6" x14ac:dyDescent="0.3">
      <c r="A118" s="3"/>
      <c r="B118" s="5"/>
      <c r="C118" s="5"/>
      <c r="D118" s="5"/>
      <c r="E118" s="5"/>
      <c r="F118" s="5"/>
    </row>
    <row r="119" spans="1:6" x14ac:dyDescent="0.3">
      <c r="A119" s="3"/>
      <c r="B119" s="5"/>
      <c r="C119" s="5"/>
      <c r="D119" s="5"/>
      <c r="E119" s="5"/>
      <c r="F119" s="5"/>
    </row>
    <row r="120" spans="1:6" x14ac:dyDescent="0.3">
      <c r="A120" s="3"/>
      <c r="B120" s="5"/>
      <c r="C120" s="5"/>
      <c r="D120" s="5"/>
      <c r="E120" s="5"/>
      <c r="F120" s="5"/>
    </row>
    <row r="121" spans="1:6" x14ac:dyDescent="0.3">
      <c r="A121" s="3"/>
      <c r="B121" s="6"/>
      <c r="C121" s="6"/>
      <c r="D121" s="6"/>
      <c r="E121" s="6"/>
      <c r="F121" s="6"/>
    </row>
    <row r="122" spans="1:6" x14ac:dyDescent="0.3">
      <c r="A122" s="7"/>
      <c r="B122" s="6"/>
      <c r="C122" s="5"/>
      <c r="D122" s="5"/>
      <c r="E122" s="5"/>
      <c r="F122" s="5"/>
    </row>
    <row r="123" spans="1:6" x14ac:dyDescent="0.3">
      <c r="A123" s="7"/>
      <c r="B123" s="6"/>
      <c r="C123" s="5"/>
      <c r="D123" s="5"/>
      <c r="E123" s="5"/>
      <c r="F123" s="5"/>
    </row>
    <row r="124" spans="1:6" x14ac:dyDescent="0.3">
      <c r="A124" s="7"/>
      <c r="B124" s="6"/>
      <c r="C124" s="6"/>
      <c r="D124" s="6"/>
      <c r="E124" s="6"/>
      <c r="F124" s="6"/>
    </row>
    <row r="125" spans="1:6" x14ac:dyDescent="0.3">
      <c r="A125" s="7"/>
      <c r="B125" s="6"/>
      <c r="C125" s="6"/>
      <c r="D125" s="6"/>
      <c r="E125" s="6"/>
      <c r="F125" s="6"/>
    </row>
    <row r="126" spans="1:6" x14ac:dyDescent="0.3">
      <c r="A126" s="7"/>
      <c r="B126" s="6"/>
      <c r="C126" s="5"/>
      <c r="D126" s="5"/>
      <c r="E126" s="5"/>
      <c r="F126" s="5"/>
    </row>
    <row r="127" spans="1:6" x14ac:dyDescent="0.3">
      <c r="A127" s="7"/>
      <c r="B127" s="6"/>
      <c r="C127" s="5"/>
      <c r="D127" s="5"/>
      <c r="E127" s="5"/>
      <c r="F127" s="5"/>
    </row>
    <row r="128" spans="1:6" x14ac:dyDescent="0.3">
      <c r="A128" s="7"/>
      <c r="B128" s="6"/>
      <c r="C128" s="5"/>
      <c r="D128" s="5"/>
      <c r="E128" s="5"/>
      <c r="F128" s="5"/>
    </row>
    <row r="129" spans="1:6" x14ac:dyDescent="0.3">
      <c r="A129" s="7"/>
      <c r="B129" s="6"/>
      <c r="C129" s="5"/>
      <c r="D129" s="5"/>
      <c r="E129" s="5"/>
      <c r="F129" s="5"/>
    </row>
    <row r="130" spans="1:6" x14ac:dyDescent="0.3">
      <c r="A130" s="7"/>
      <c r="B130" s="6"/>
      <c r="C130" s="5"/>
      <c r="D130" s="5"/>
      <c r="E130" s="5"/>
      <c r="F130" s="5"/>
    </row>
    <row r="131" spans="1:6" x14ac:dyDescent="0.3">
      <c r="A131" s="7"/>
      <c r="B131" s="6"/>
      <c r="C131" s="5"/>
      <c r="D131" s="5"/>
      <c r="E131" s="5"/>
      <c r="F131" s="5"/>
    </row>
    <row r="132" spans="1:6" x14ac:dyDescent="0.3">
      <c r="A132" s="7"/>
      <c r="B132" s="6"/>
      <c r="C132" s="5"/>
      <c r="D132" s="5"/>
      <c r="E132" s="5"/>
      <c r="F132" s="5"/>
    </row>
    <row r="133" spans="1:6" x14ac:dyDescent="0.3">
      <c r="A133" s="7"/>
      <c r="B133" s="6"/>
      <c r="C133" s="6"/>
      <c r="D133" s="6"/>
      <c r="E133" s="6"/>
      <c r="F133" s="6"/>
    </row>
    <row r="134" spans="1:6" x14ac:dyDescent="0.3">
      <c r="A134" s="7"/>
      <c r="B134" s="6"/>
      <c r="C134" s="6"/>
      <c r="D134" s="6"/>
      <c r="E134" s="6"/>
      <c r="F134" s="6"/>
    </row>
    <row r="135" spans="1:6" x14ac:dyDescent="0.3">
      <c r="A135" s="7"/>
      <c r="B135" s="6"/>
      <c r="C135" s="6"/>
      <c r="D135" s="6"/>
      <c r="E135" s="6"/>
      <c r="F135" s="6"/>
    </row>
    <row r="136" spans="1:6" x14ac:dyDescent="0.3">
      <c r="A136" s="7"/>
      <c r="B136" s="6"/>
      <c r="C136" s="6"/>
      <c r="D136" s="6"/>
      <c r="E136" s="6"/>
      <c r="F136" s="6"/>
    </row>
    <row r="137" spans="1:6" x14ac:dyDescent="0.3">
      <c r="A137" s="7"/>
      <c r="B137" s="6"/>
      <c r="C137" s="6"/>
      <c r="D137" s="6"/>
      <c r="E137" s="6"/>
      <c r="F137" s="6"/>
    </row>
    <row r="138" spans="1:6" x14ac:dyDescent="0.3">
      <c r="A138" s="7"/>
      <c r="B138" s="6"/>
      <c r="C138" s="6"/>
      <c r="D138" s="6"/>
      <c r="E138" s="6"/>
      <c r="F138" s="6"/>
    </row>
    <row r="139" spans="1:6" x14ac:dyDescent="0.3">
      <c r="A139" s="7"/>
      <c r="B139" s="6"/>
      <c r="C139" s="6"/>
      <c r="D139" s="6"/>
      <c r="E139" s="6"/>
      <c r="F139" s="6"/>
    </row>
    <row r="140" spans="1:6" x14ac:dyDescent="0.3">
      <c r="A140" s="7"/>
      <c r="B140" s="6"/>
      <c r="C140" s="5"/>
      <c r="D140" s="5"/>
      <c r="E140" s="5"/>
      <c r="F140" s="5"/>
    </row>
    <row r="141" spans="1:6" x14ac:dyDescent="0.3">
      <c r="A141" s="7"/>
      <c r="B141" s="6"/>
      <c r="C141" s="5"/>
      <c r="D141" s="5"/>
      <c r="E141" s="5"/>
      <c r="F141" s="5"/>
    </row>
    <row r="142" spans="1:6" x14ac:dyDescent="0.3">
      <c r="A142" s="7"/>
      <c r="B142" s="6"/>
      <c r="C142" s="6"/>
      <c r="D142" s="6"/>
      <c r="E142" s="6"/>
      <c r="F142" s="6"/>
    </row>
    <row r="143" spans="1:6" x14ac:dyDescent="0.3">
      <c r="A143" s="7"/>
      <c r="B143" s="6"/>
      <c r="C143" s="6"/>
      <c r="D143" s="6"/>
      <c r="E143" s="6"/>
      <c r="F143" s="6"/>
    </row>
    <row r="144" spans="1:6" x14ac:dyDescent="0.3">
      <c r="A144" s="7"/>
      <c r="B144" s="6"/>
      <c r="C144" s="6"/>
      <c r="D144" s="6"/>
      <c r="E144" s="6"/>
      <c r="F144" s="6"/>
    </row>
    <row r="145" spans="1:6" x14ac:dyDescent="0.3">
      <c r="A145" s="3"/>
      <c r="B145" s="6"/>
      <c r="C145" s="8"/>
      <c r="D145" s="8"/>
      <c r="E145" s="8"/>
      <c r="F145" s="8"/>
    </row>
    <row r="146" spans="1:6" x14ac:dyDescent="0.3">
      <c r="B146" s="8"/>
      <c r="C146" s="8"/>
      <c r="D146" s="8"/>
      <c r="E146" s="8"/>
      <c r="F146" s="8"/>
    </row>
    <row r="147" spans="1:6" x14ac:dyDescent="0.3">
      <c r="B147" s="8"/>
      <c r="C147" s="8"/>
      <c r="D147" s="8"/>
      <c r="E147" s="8"/>
      <c r="F147" s="8"/>
    </row>
    <row r="148" spans="1:6" x14ac:dyDescent="0.3">
      <c r="B148" s="8"/>
      <c r="C148" s="8"/>
      <c r="D148" s="8"/>
      <c r="E148" s="8"/>
      <c r="F148" s="8"/>
    </row>
    <row r="149" spans="1:6" x14ac:dyDescent="0.3">
      <c r="B149" s="8"/>
      <c r="C149" s="8"/>
      <c r="D149" s="8"/>
      <c r="E149" s="8"/>
      <c r="F149" s="8"/>
    </row>
    <row r="150" spans="1:6" x14ac:dyDescent="0.3">
      <c r="B150" s="8"/>
      <c r="C150" s="8"/>
      <c r="D150" s="8"/>
      <c r="E150" s="8"/>
      <c r="F150" s="8"/>
    </row>
    <row r="151" spans="1:6" x14ac:dyDescent="0.3">
      <c r="B151" s="8"/>
      <c r="C151" s="8"/>
      <c r="D151" s="8"/>
      <c r="E151" s="8"/>
      <c r="F151" s="8"/>
    </row>
    <row r="152" spans="1:6" x14ac:dyDescent="0.3">
      <c r="B152" s="8"/>
      <c r="C152" s="8"/>
      <c r="D152" s="8"/>
      <c r="E152" s="8"/>
      <c r="F152" s="8"/>
    </row>
    <row r="153" spans="1:6" x14ac:dyDescent="0.3">
      <c r="B153" s="8"/>
      <c r="C153" s="8"/>
      <c r="D153" s="8"/>
      <c r="E153" s="8"/>
      <c r="F153" s="8"/>
    </row>
    <row r="154" spans="1:6" x14ac:dyDescent="0.3">
      <c r="B154" s="8"/>
      <c r="C154" s="8"/>
      <c r="D154" s="8"/>
      <c r="E154" s="8"/>
      <c r="F154" s="8"/>
    </row>
    <row r="155" spans="1:6" x14ac:dyDescent="0.3">
      <c r="B155" s="8"/>
      <c r="C155" s="8"/>
      <c r="D155" s="8"/>
      <c r="E155" s="8"/>
      <c r="F155" s="8"/>
    </row>
    <row r="156" spans="1:6" x14ac:dyDescent="0.3">
      <c r="B156" s="8"/>
      <c r="C156" s="8"/>
      <c r="D156" s="8"/>
      <c r="E156" s="8"/>
      <c r="F156" s="8"/>
    </row>
    <row r="157" spans="1:6" x14ac:dyDescent="0.3">
      <c r="B157" s="8"/>
      <c r="C157" s="8"/>
      <c r="D157" s="8"/>
      <c r="E157" s="8"/>
      <c r="F157" s="8"/>
    </row>
    <row r="158" spans="1:6" x14ac:dyDescent="0.3">
      <c r="B158" s="8"/>
      <c r="C158" s="8"/>
      <c r="D158" s="8"/>
      <c r="E158" s="8"/>
      <c r="F158" s="8"/>
    </row>
    <row r="159" spans="1:6" x14ac:dyDescent="0.3">
      <c r="B159" s="8"/>
      <c r="C159" s="8"/>
      <c r="D159" s="8"/>
      <c r="E159" s="8"/>
      <c r="F159" s="8"/>
    </row>
    <row r="160" spans="1:6" x14ac:dyDescent="0.3">
      <c r="B160" s="8"/>
      <c r="C160" s="8"/>
      <c r="D160" s="8"/>
      <c r="E160" s="8"/>
      <c r="F160" s="8"/>
    </row>
    <row r="161" spans="1:6" x14ac:dyDescent="0.3">
      <c r="A161" s="3"/>
      <c r="B161" s="13"/>
      <c r="C161" s="13"/>
      <c r="D161" s="13"/>
      <c r="E161" s="13"/>
      <c r="F161" s="13"/>
    </row>
    <row r="162" spans="1:6" x14ac:dyDescent="0.3">
      <c r="B162" s="8"/>
      <c r="C162" s="8"/>
      <c r="D162" s="8"/>
      <c r="E162" s="8"/>
      <c r="F162" s="8"/>
    </row>
    <row r="163" spans="1:6" x14ac:dyDescent="0.3">
      <c r="B163" s="8"/>
      <c r="C163" s="8"/>
      <c r="D163" s="8"/>
      <c r="E163" s="8"/>
      <c r="F163" s="8"/>
    </row>
    <row r="164" spans="1:6" x14ac:dyDescent="0.3">
      <c r="B164" s="8"/>
      <c r="C164" s="8"/>
      <c r="D164" s="8"/>
      <c r="E164" s="8"/>
      <c r="F164" s="8"/>
    </row>
    <row r="165" spans="1:6" x14ac:dyDescent="0.3">
      <c r="B165" s="8"/>
      <c r="C165" s="8"/>
      <c r="D165" s="8"/>
      <c r="E165" s="8"/>
      <c r="F165" s="8"/>
    </row>
    <row r="166" spans="1:6" x14ac:dyDescent="0.3">
      <c r="B166" s="8"/>
      <c r="C166" s="8"/>
      <c r="D166" s="8"/>
      <c r="E166" s="8"/>
      <c r="F166" s="8"/>
    </row>
    <row r="167" spans="1:6" x14ac:dyDescent="0.3">
      <c r="B167" s="8"/>
      <c r="C167" s="8"/>
      <c r="D167" s="8"/>
      <c r="E167" s="8"/>
      <c r="F167" s="8"/>
    </row>
    <row r="168" spans="1:6" x14ac:dyDescent="0.3">
      <c r="B168" s="8"/>
      <c r="C168" s="8"/>
      <c r="D168" s="8"/>
      <c r="E168" s="8"/>
      <c r="F168" s="8"/>
    </row>
    <row r="169" spans="1:6" x14ac:dyDescent="0.3">
      <c r="B169" s="8"/>
      <c r="C169" s="8"/>
      <c r="D169" s="8"/>
      <c r="E169" s="8"/>
      <c r="F169" s="8"/>
    </row>
    <row r="170" spans="1:6" x14ac:dyDescent="0.3">
      <c r="B170" s="8"/>
      <c r="C170" s="8"/>
      <c r="D170" s="8"/>
      <c r="E170" s="8"/>
      <c r="F170" s="8"/>
    </row>
    <row r="171" spans="1:6" x14ac:dyDescent="0.3">
      <c r="B171" s="8"/>
      <c r="C171" s="8"/>
      <c r="D171" s="8"/>
      <c r="E171" s="8"/>
      <c r="F171" s="8"/>
    </row>
    <row r="172" spans="1:6" x14ac:dyDescent="0.3">
      <c r="B172" s="8"/>
      <c r="C172" s="8"/>
      <c r="D172" s="8"/>
      <c r="E172" s="8"/>
      <c r="F172" s="8"/>
    </row>
    <row r="173" spans="1:6" x14ac:dyDescent="0.3">
      <c r="B173" s="8"/>
      <c r="C173" s="8"/>
      <c r="D173" s="8"/>
      <c r="E173" s="8"/>
      <c r="F173" s="8"/>
    </row>
    <row r="174" spans="1:6" x14ac:dyDescent="0.3">
      <c r="B174" s="8"/>
      <c r="C174" s="8"/>
      <c r="D174" s="8"/>
      <c r="E174" s="8"/>
      <c r="F174" s="8"/>
    </row>
    <row r="175" spans="1:6" x14ac:dyDescent="0.3">
      <c r="B175" s="8"/>
      <c r="C175" s="8"/>
      <c r="D175" s="8"/>
      <c r="E175" s="8"/>
      <c r="F175" s="8"/>
    </row>
    <row r="176" spans="1:6" x14ac:dyDescent="0.3">
      <c r="B176" s="8"/>
      <c r="C176" s="8"/>
      <c r="D176" s="8"/>
      <c r="E176" s="8"/>
      <c r="F176" s="8"/>
    </row>
    <row r="177" spans="1:6" x14ac:dyDescent="0.3">
      <c r="B177" s="8"/>
      <c r="C177" s="8"/>
      <c r="D177" s="8"/>
      <c r="E177" s="8"/>
      <c r="F177" s="8"/>
    </row>
    <row r="178" spans="1:6" x14ac:dyDescent="0.3">
      <c r="B178" s="8"/>
      <c r="C178" s="8"/>
      <c r="D178" s="8"/>
      <c r="E178" s="8"/>
      <c r="F178" s="8"/>
    </row>
    <row r="179" spans="1:6" x14ac:dyDescent="0.3">
      <c r="A179" s="3"/>
      <c r="B179" s="13"/>
      <c r="C179" s="13"/>
      <c r="D179" s="13"/>
      <c r="E179" s="13"/>
      <c r="F179" s="13"/>
    </row>
    <row r="180" spans="1:6" x14ac:dyDescent="0.3">
      <c r="B180" s="8"/>
      <c r="C180" s="8"/>
      <c r="D180" s="8"/>
      <c r="E180" s="8"/>
      <c r="F180" s="8"/>
    </row>
    <row r="181" spans="1:6" x14ac:dyDescent="0.3">
      <c r="B181" s="8"/>
      <c r="C181" s="8"/>
      <c r="D181" s="8"/>
      <c r="E181" s="8"/>
      <c r="F181" s="8"/>
    </row>
    <row r="182" spans="1:6" x14ac:dyDescent="0.3">
      <c r="B182" s="8"/>
      <c r="C182" s="8"/>
      <c r="D182" s="8"/>
      <c r="E182" s="8"/>
      <c r="F182" s="8"/>
    </row>
    <row r="183" spans="1:6" x14ac:dyDescent="0.3">
      <c r="B183" s="8"/>
      <c r="C183" s="8"/>
      <c r="D183" s="8"/>
      <c r="E183" s="8"/>
      <c r="F183" s="8"/>
    </row>
    <row r="184" spans="1:6" x14ac:dyDescent="0.3">
      <c r="A184" s="3"/>
      <c r="B184" s="13"/>
      <c r="C184" s="13"/>
      <c r="D184" s="13"/>
      <c r="E184" s="13"/>
      <c r="F184" s="13"/>
    </row>
    <row r="185" spans="1:6" x14ac:dyDescent="0.3">
      <c r="B185" s="8"/>
      <c r="C185" s="8"/>
      <c r="D185" s="8"/>
      <c r="E185" s="8"/>
      <c r="F185" s="8"/>
    </row>
    <row r="186" spans="1:6" x14ac:dyDescent="0.3">
      <c r="B186" s="8"/>
      <c r="C186" s="8"/>
      <c r="D186" s="8"/>
      <c r="E186" s="8"/>
      <c r="F186" s="8"/>
    </row>
    <row r="187" spans="1:6" x14ac:dyDescent="0.3">
      <c r="B187" s="8"/>
      <c r="C187" s="8"/>
      <c r="D187" s="8"/>
      <c r="E187" s="8"/>
      <c r="F187" s="8"/>
    </row>
    <row r="188" spans="1:6" x14ac:dyDescent="0.3">
      <c r="B188" s="8"/>
      <c r="C188" s="8"/>
      <c r="D188" s="8"/>
      <c r="E188" s="8"/>
      <c r="F188" s="8"/>
    </row>
    <row r="189" spans="1:6" x14ac:dyDescent="0.3">
      <c r="A189" s="3"/>
      <c r="B189" s="13"/>
      <c r="C189" s="13"/>
      <c r="D189" s="13"/>
      <c r="E189" s="13"/>
      <c r="F189" s="13"/>
    </row>
    <row r="190" spans="1:6" x14ac:dyDescent="0.3">
      <c r="A190" s="3"/>
      <c r="B190" s="13"/>
      <c r="C190" s="13"/>
      <c r="D190" s="13"/>
      <c r="E190" s="13"/>
      <c r="F190" s="13"/>
    </row>
    <row r="191" spans="1:6" x14ac:dyDescent="0.3">
      <c r="A191" s="3"/>
      <c r="B191" s="13"/>
      <c r="C191" s="13"/>
      <c r="D191" s="13"/>
      <c r="E191" s="13"/>
      <c r="F191" s="13"/>
    </row>
    <row r="192" spans="1:6" x14ac:dyDescent="0.3">
      <c r="A192" s="3"/>
      <c r="B192" s="13"/>
      <c r="C192" s="13"/>
      <c r="D192" s="13"/>
      <c r="E192" s="13"/>
      <c r="F192" s="13"/>
    </row>
    <row r="193" spans="1:6" x14ac:dyDescent="0.3">
      <c r="A193" s="3"/>
      <c r="B193" s="13"/>
      <c r="C193" s="13"/>
      <c r="D193" s="13"/>
      <c r="E193" s="13"/>
      <c r="F193" s="13"/>
    </row>
    <row r="194" spans="1:6" x14ac:dyDescent="0.3">
      <c r="B194" s="8"/>
      <c r="C194" s="8"/>
      <c r="D194" s="8"/>
      <c r="E194" s="8"/>
      <c r="F194" s="8"/>
    </row>
    <row r="195" spans="1:6" x14ac:dyDescent="0.3">
      <c r="B195" s="8"/>
      <c r="C195" s="8"/>
      <c r="D195" s="8"/>
      <c r="E195" s="8"/>
      <c r="F195" s="8"/>
    </row>
    <row r="196" spans="1:6" x14ac:dyDescent="0.3">
      <c r="A196" s="3"/>
      <c r="B196" s="13"/>
      <c r="C196" s="13"/>
      <c r="D196" s="13"/>
      <c r="E196" s="13"/>
      <c r="F196" s="13"/>
    </row>
    <row r="197" spans="1:6" x14ac:dyDescent="0.3">
      <c r="B197" s="8"/>
      <c r="C197" s="8"/>
      <c r="D197" s="8"/>
      <c r="E197" s="8"/>
      <c r="F197" s="8"/>
    </row>
    <row r="198" spans="1:6" x14ac:dyDescent="0.3">
      <c r="B198" s="8"/>
      <c r="C198" s="8"/>
      <c r="D198" s="8"/>
      <c r="E198" s="8"/>
      <c r="F198" s="8"/>
    </row>
    <row r="199" spans="1:6" x14ac:dyDescent="0.3">
      <c r="A199" s="3"/>
      <c r="B199" s="13"/>
      <c r="C199" s="13"/>
      <c r="D199" s="13"/>
      <c r="E199" s="13"/>
      <c r="F199" s="13"/>
    </row>
    <row r="200" spans="1:6" x14ac:dyDescent="0.3">
      <c r="B200" s="8"/>
      <c r="C200" s="8"/>
      <c r="D200" s="8"/>
      <c r="E200" s="8"/>
      <c r="F200" s="8"/>
    </row>
    <row r="201" spans="1:6" x14ac:dyDescent="0.3">
      <c r="B201" s="8"/>
      <c r="C201" s="8"/>
      <c r="D201" s="8"/>
      <c r="E201" s="8"/>
      <c r="F201" s="8"/>
    </row>
    <row r="202" spans="1:6" x14ac:dyDescent="0.3">
      <c r="A202" s="3"/>
      <c r="B202" s="13"/>
      <c r="C202" s="13"/>
      <c r="D202" s="13"/>
      <c r="E202" s="13"/>
      <c r="F202" s="13"/>
    </row>
    <row r="203" spans="1:6" x14ac:dyDescent="0.3">
      <c r="B203" s="8"/>
      <c r="C203" s="8"/>
      <c r="D203" s="8"/>
      <c r="E203" s="8"/>
      <c r="F203" s="8"/>
    </row>
    <row r="204" spans="1:6" x14ac:dyDescent="0.3">
      <c r="B204" s="8"/>
      <c r="C204" s="8"/>
      <c r="D204" s="8"/>
      <c r="E204" s="8"/>
      <c r="F204" s="8"/>
    </row>
    <row r="205" spans="1:6" x14ac:dyDescent="0.3">
      <c r="B205" s="8"/>
      <c r="C205" s="8"/>
      <c r="D205" s="8"/>
      <c r="E205" s="8"/>
      <c r="F205" s="8"/>
    </row>
    <row r="206" spans="1:6" x14ac:dyDescent="0.3">
      <c r="A206" s="3"/>
      <c r="B206" s="13"/>
      <c r="C206" s="13"/>
      <c r="D206" s="13"/>
      <c r="E206" s="13"/>
      <c r="F206" s="13"/>
    </row>
    <row r="207" spans="1:6" x14ac:dyDescent="0.3">
      <c r="B207" s="8"/>
      <c r="C207" s="8"/>
      <c r="D207" s="8"/>
      <c r="E207" s="8"/>
      <c r="F207" s="8"/>
    </row>
    <row r="208" spans="1:6" x14ac:dyDescent="0.3">
      <c r="B208" s="8"/>
      <c r="C208" s="8"/>
      <c r="D208" s="8"/>
      <c r="E208" s="8"/>
      <c r="F208" s="8"/>
    </row>
    <row r="209" spans="2:6" x14ac:dyDescent="0.3">
      <c r="B209" s="8"/>
      <c r="C209" s="8"/>
      <c r="D209" s="8"/>
      <c r="E209" s="8"/>
      <c r="F209" s="8"/>
    </row>
    <row r="210" spans="2:6" x14ac:dyDescent="0.3">
      <c r="B210" s="8"/>
      <c r="C210" s="8"/>
      <c r="D210" s="8"/>
      <c r="E210" s="8"/>
      <c r="F210" s="8"/>
    </row>
    <row r="211" spans="2:6" x14ac:dyDescent="0.3">
      <c r="B211" s="8"/>
      <c r="C211" s="8"/>
      <c r="D211" s="8"/>
      <c r="E211" s="8"/>
      <c r="F211" s="8"/>
    </row>
    <row r="212" spans="2:6" x14ac:dyDescent="0.3">
      <c r="B212" s="8"/>
      <c r="C212" s="8"/>
      <c r="D212" s="8"/>
      <c r="E212" s="8"/>
      <c r="F212" s="8"/>
    </row>
    <row r="213" spans="2:6" x14ac:dyDescent="0.3">
      <c r="B213" s="8"/>
      <c r="C213" s="8"/>
      <c r="D213" s="8"/>
      <c r="E213" s="8"/>
      <c r="F213" s="8"/>
    </row>
    <row r="214" spans="2:6" x14ac:dyDescent="0.3">
      <c r="B214" s="8"/>
      <c r="C214" s="8"/>
      <c r="D214" s="8"/>
      <c r="E214" s="8"/>
      <c r="F214" s="8"/>
    </row>
    <row r="215" spans="2:6" x14ac:dyDescent="0.3">
      <c r="B215" s="8"/>
      <c r="C215" s="8"/>
      <c r="D215" s="8"/>
      <c r="E215" s="8"/>
      <c r="F215" s="8"/>
    </row>
    <row r="216" spans="2:6" x14ac:dyDescent="0.3">
      <c r="B216" s="8"/>
      <c r="C216" s="8"/>
      <c r="D216" s="8"/>
      <c r="E216" s="8"/>
      <c r="F216" s="8"/>
    </row>
    <row r="217" spans="2:6" x14ac:dyDescent="0.3">
      <c r="B217" s="8"/>
      <c r="C217" s="8"/>
      <c r="D217" s="8"/>
      <c r="E217" s="8"/>
      <c r="F217" s="8"/>
    </row>
    <row r="218" spans="2:6" x14ac:dyDescent="0.3">
      <c r="B218" s="8"/>
      <c r="C218" s="8"/>
      <c r="D218" s="8"/>
      <c r="E218" s="8"/>
      <c r="F218" s="8"/>
    </row>
    <row r="219" spans="2:6" x14ac:dyDescent="0.3">
      <c r="B219" s="8"/>
      <c r="C219" s="8"/>
      <c r="D219" s="8"/>
      <c r="E219" s="8"/>
      <c r="F219" s="8"/>
    </row>
    <row r="220" spans="2:6" x14ac:dyDescent="0.3">
      <c r="B220" s="8"/>
      <c r="C220" s="8"/>
      <c r="D220" s="8"/>
      <c r="E220" s="8"/>
      <c r="F220" s="8"/>
    </row>
    <row r="221" spans="2:6" x14ac:dyDescent="0.3">
      <c r="B221" s="8"/>
      <c r="C221" s="8"/>
      <c r="D221" s="8"/>
      <c r="E221" s="8"/>
      <c r="F221" s="8"/>
    </row>
    <row r="222" spans="2:6" x14ac:dyDescent="0.3">
      <c r="B222" s="8"/>
      <c r="C222" s="8"/>
      <c r="D222" s="8"/>
      <c r="E222" s="8"/>
      <c r="F222" s="8"/>
    </row>
    <row r="223" spans="2:6" x14ac:dyDescent="0.3">
      <c r="B223" s="8"/>
      <c r="C223" s="8"/>
      <c r="D223" s="8"/>
      <c r="E223" s="8"/>
      <c r="F223" s="8"/>
    </row>
    <row r="224" spans="2:6" x14ac:dyDescent="0.3">
      <c r="B224" s="8"/>
      <c r="C224" s="8"/>
      <c r="D224" s="8"/>
      <c r="E224" s="8"/>
      <c r="F224" s="8"/>
    </row>
    <row r="225" spans="2:6" x14ac:dyDescent="0.3">
      <c r="B225" s="8"/>
      <c r="C225" s="8"/>
      <c r="D225" s="8"/>
      <c r="E225" s="8"/>
      <c r="F225" s="8"/>
    </row>
    <row r="226" spans="2:6" x14ac:dyDescent="0.3">
      <c r="B226" s="8"/>
      <c r="C226" s="8"/>
      <c r="D226" s="8"/>
      <c r="E226" s="8"/>
      <c r="F226" s="8"/>
    </row>
    <row r="227" spans="2:6" x14ac:dyDescent="0.3">
      <c r="B227" s="8"/>
      <c r="C227" s="8"/>
      <c r="D227" s="8"/>
      <c r="E227" s="8"/>
      <c r="F227" s="8"/>
    </row>
    <row r="228" spans="2:6" x14ac:dyDescent="0.3">
      <c r="B228" s="8"/>
      <c r="C228" s="8"/>
      <c r="D228" s="8"/>
      <c r="E228" s="8"/>
      <c r="F228" s="8"/>
    </row>
    <row r="229" spans="2:6" x14ac:dyDescent="0.3">
      <c r="B229" s="8"/>
      <c r="C229" s="8"/>
      <c r="D229" s="8"/>
      <c r="E229" s="8"/>
      <c r="F229" s="8"/>
    </row>
    <row r="230" spans="2:6" x14ac:dyDescent="0.3">
      <c r="B230" s="8"/>
      <c r="C230" s="8"/>
      <c r="D230" s="8"/>
      <c r="E230" s="8"/>
      <c r="F230" s="8"/>
    </row>
    <row r="231" spans="2:6" x14ac:dyDescent="0.3">
      <c r="B231" s="8"/>
      <c r="C231" s="8"/>
      <c r="D231" s="8"/>
      <c r="E231" s="8"/>
      <c r="F231" s="8"/>
    </row>
    <row r="232" spans="2:6" x14ac:dyDescent="0.3">
      <c r="B232" s="8"/>
      <c r="C232" s="8"/>
      <c r="D232" s="8"/>
      <c r="E232" s="8"/>
      <c r="F232" s="8"/>
    </row>
    <row r="233" spans="2:6" x14ac:dyDescent="0.3">
      <c r="B233" s="8"/>
      <c r="C233" s="8"/>
      <c r="D233" s="8"/>
      <c r="E233" s="8"/>
      <c r="F233" s="8"/>
    </row>
    <row r="234" spans="2:6" x14ac:dyDescent="0.3">
      <c r="B234" s="8"/>
      <c r="C234" s="8"/>
      <c r="D234" s="8"/>
      <c r="E234" s="8"/>
      <c r="F234" s="8"/>
    </row>
    <row r="235" spans="2:6" x14ac:dyDescent="0.3">
      <c r="B235" s="8"/>
      <c r="C235" s="8"/>
      <c r="D235" s="8"/>
      <c r="E235" s="8"/>
      <c r="F235" s="8"/>
    </row>
    <row r="236" spans="2:6" x14ac:dyDescent="0.3">
      <c r="B236" s="8"/>
      <c r="C236" s="8"/>
      <c r="D236" s="8"/>
      <c r="E236" s="8"/>
      <c r="F236" s="8"/>
    </row>
    <row r="237" spans="2:6" x14ac:dyDescent="0.3">
      <c r="B237" s="8"/>
      <c r="C237" s="8"/>
      <c r="D237" s="8"/>
      <c r="E237" s="8"/>
      <c r="F237" s="8"/>
    </row>
    <row r="238" spans="2:6" x14ac:dyDescent="0.3">
      <c r="B238" s="8"/>
      <c r="C238" s="8"/>
      <c r="D238" s="8"/>
      <c r="E238" s="8"/>
      <c r="F238" s="8"/>
    </row>
    <row r="239" spans="2:6" x14ac:dyDescent="0.3">
      <c r="B239" s="8"/>
      <c r="C239" s="8"/>
      <c r="D239" s="8"/>
      <c r="E239" s="8"/>
      <c r="F239" s="8"/>
    </row>
    <row r="240" spans="2:6" x14ac:dyDescent="0.3">
      <c r="B240" s="8"/>
      <c r="C240" s="8"/>
      <c r="D240" s="8"/>
      <c r="E240" s="8"/>
      <c r="F240" s="8"/>
    </row>
    <row r="241" spans="2:6" x14ac:dyDescent="0.3">
      <c r="B241" s="8"/>
      <c r="C241" s="8"/>
      <c r="D241" s="8"/>
      <c r="E241" s="8"/>
      <c r="F241" s="8"/>
    </row>
    <row r="242" spans="2:6" x14ac:dyDescent="0.3">
      <c r="B242" s="8"/>
      <c r="C242" s="8"/>
      <c r="D242" s="8"/>
      <c r="E242" s="8"/>
      <c r="F242" s="8"/>
    </row>
    <row r="243" spans="2:6" x14ac:dyDescent="0.3">
      <c r="B243" s="8"/>
      <c r="C243" s="8"/>
      <c r="D243" s="8"/>
      <c r="E243" s="8"/>
      <c r="F243" s="8"/>
    </row>
    <row r="244" spans="2:6" x14ac:dyDescent="0.3">
      <c r="B244" s="8"/>
      <c r="C244" s="8"/>
      <c r="D244" s="8"/>
      <c r="E244" s="8"/>
      <c r="F244" s="8"/>
    </row>
    <row r="245" spans="2:6" x14ac:dyDescent="0.3">
      <c r="B245" s="8"/>
      <c r="C245" s="8"/>
      <c r="D245" s="8"/>
      <c r="E245" s="8"/>
      <c r="F245" s="8"/>
    </row>
    <row r="246" spans="2:6" x14ac:dyDescent="0.3">
      <c r="B246" s="8"/>
      <c r="C246" s="8"/>
      <c r="D246" s="8"/>
      <c r="E246" s="8"/>
      <c r="F246" s="8"/>
    </row>
    <row r="247" spans="2:6" x14ac:dyDescent="0.3">
      <c r="B247" s="8"/>
      <c r="C247" s="8"/>
      <c r="D247" s="8"/>
      <c r="E247" s="8"/>
      <c r="F247" s="8"/>
    </row>
    <row r="248" spans="2:6" x14ac:dyDescent="0.3">
      <c r="B248" s="8"/>
      <c r="C248" s="8"/>
      <c r="D248" s="8"/>
      <c r="E248" s="8"/>
      <c r="F248" s="8"/>
    </row>
    <row r="249" spans="2:6" x14ac:dyDescent="0.3">
      <c r="B249" s="8"/>
      <c r="C249" s="8"/>
      <c r="D249" s="8"/>
      <c r="E249" s="8"/>
      <c r="F249" s="8"/>
    </row>
    <row r="250" spans="2:6" x14ac:dyDescent="0.3">
      <c r="B250" s="8"/>
      <c r="C250" s="8"/>
      <c r="D250" s="8"/>
      <c r="E250" s="8"/>
      <c r="F250" s="8"/>
    </row>
    <row r="251" spans="2:6" x14ac:dyDescent="0.3">
      <c r="B251" s="8"/>
      <c r="C251" s="8"/>
      <c r="D251" s="8"/>
      <c r="E251" s="8"/>
      <c r="F251" s="8"/>
    </row>
    <row r="252" spans="2:6" x14ac:dyDescent="0.3">
      <c r="B252" s="8"/>
      <c r="C252" s="8"/>
      <c r="D252" s="8"/>
      <c r="E252" s="8"/>
      <c r="F252" s="8"/>
    </row>
    <row r="253" spans="2:6" x14ac:dyDescent="0.3">
      <c r="B253" s="8"/>
      <c r="C253" s="8"/>
      <c r="D253" s="8"/>
      <c r="E253" s="8"/>
      <c r="F253" s="8"/>
    </row>
    <row r="254" spans="2:6" x14ac:dyDescent="0.3">
      <c r="B254" s="8"/>
      <c r="C254" s="8"/>
      <c r="D254" s="8"/>
      <c r="E254" s="8"/>
      <c r="F254" s="8"/>
    </row>
    <row r="255" spans="2:6" x14ac:dyDescent="0.3">
      <c r="B255" s="8"/>
      <c r="C255" s="8"/>
      <c r="D255" s="8"/>
      <c r="E255" s="8"/>
      <c r="F255" s="8"/>
    </row>
    <row r="256" spans="2:6" x14ac:dyDescent="0.3">
      <c r="B256" s="8"/>
      <c r="C256" s="8"/>
      <c r="D256" s="8"/>
      <c r="E256" s="8"/>
      <c r="F256" s="8"/>
    </row>
    <row r="257" spans="2:6" x14ac:dyDescent="0.3">
      <c r="B257" s="8"/>
      <c r="C257" s="8"/>
      <c r="D257" s="8"/>
      <c r="E257" s="8"/>
      <c r="F257" s="8"/>
    </row>
    <row r="258" spans="2:6" x14ac:dyDescent="0.3">
      <c r="B258" s="8"/>
      <c r="C258" s="8"/>
      <c r="D258" s="8"/>
      <c r="E258" s="8"/>
      <c r="F258" s="8"/>
    </row>
    <row r="259" spans="2:6" x14ac:dyDescent="0.3">
      <c r="B259" s="8"/>
      <c r="C259" s="8"/>
      <c r="D259" s="8"/>
      <c r="E259" s="8"/>
      <c r="F259" s="8"/>
    </row>
    <row r="260" spans="2:6" x14ac:dyDescent="0.3">
      <c r="B260" s="8"/>
      <c r="C260" s="8"/>
      <c r="D260" s="8"/>
      <c r="E260" s="8"/>
      <c r="F260" s="8"/>
    </row>
    <row r="261" spans="2:6" x14ac:dyDescent="0.3">
      <c r="B261" s="8"/>
      <c r="C261" s="8"/>
      <c r="D261" s="8"/>
      <c r="E261" s="8"/>
      <c r="F261" s="8"/>
    </row>
    <row r="262" spans="2:6" x14ac:dyDescent="0.3">
      <c r="B262" s="8"/>
      <c r="C262" s="8"/>
      <c r="D262" s="8"/>
      <c r="E262" s="8"/>
      <c r="F262" s="8"/>
    </row>
    <row r="263" spans="2:6" x14ac:dyDescent="0.3">
      <c r="B263" s="8"/>
      <c r="C263" s="8"/>
      <c r="D263" s="8"/>
      <c r="E263" s="8"/>
      <c r="F263" s="8"/>
    </row>
    <row r="264" spans="2:6" x14ac:dyDescent="0.3">
      <c r="B264" s="8"/>
      <c r="C264" s="8"/>
      <c r="D264" s="8"/>
      <c r="E264" s="8"/>
      <c r="F264" s="8"/>
    </row>
    <row r="265" spans="2:6" x14ac:dyDescent="0.3">
      <c r="B265" s="8"/>
      <c r="C265" s="8"/>
      <c r="D265" s="8"/>
      <c r="E265" s="8"/>
      <c r="F265" s="8"/>
    </row>
    <row r="266" spans="2:6" x14ac:dyDescent="0.3">
      <c r="B266" s="8"/>
      <c r="C266" s="8"/>
      <c r="D266" s="8"/>
      <c r="E266" s="8"/>
      <c r="F266" s="8"/>
    </row>
    <row r="267" spans="2:6" x14ac:dyDescent="0.3">
      <c r="B267" s="8"/>
      <c r="C267" s="8"/>
      <c r="D267" s="8"/>
      <c r="E267" s="8"/>
      <c r="F267" s="8"/>
    </row>
    <row r="268" spans="2:6" x14ac:dyDescent="0.3">
      <c r="B268" s="8"/>
      <c r="C268" s="8"/>
      <c r="D268" s="8"/>
      <c r="E268" s="8"/>
      <c r="F268" s="8"/>
    </row>
    <row r="269" spans="2:6" x14ac:dyDescent="0.3">
      <c r="B269" s="8"/>
      <c r="C269" s="8"/>
      <c r="D269" s="8"/>
      <c r="E269" s="8"/>
      <c r="F269" s="8"/>
    </row>
    <row r="270" spans="2:6" x14ac:dyDescent="0.3">
      <c r="B270" s="8"/>
      <c r="C270" s="8"/>
      <c r="D270" s="8"/>
      <c r="E270" s="8"/>
      <c r="F270" s="8"/>
    </row>
    <row r="271" spans="2:6" x14ac:dyDescent="0.3">
      <c r="B271" s="8"/>
      <c r="C271" s="8"/>
      <c r="D271" s="8"/>
      <c r="E271" s="8"/>
      <c r="F271" s="8"/>
    </row>
    <row r="272" spans="2:6" x14ac:dyDescent="0.3">
      <c r="B272" s="8"/>
      <c r="C272" s="8"/>
      <c r="D272" s="8"/>
      <c r="E272" s="8"/>
      <c r="F272" s="8"/>
    </row>
    <row r="273" spans="2:6" x14ac:dyDescent="0.3">
      <c r="B273" s="8"/>
      <c r="C273" s="8"/>
      <c r="D273" s="8"/>
      <c r="E273" s="8"/>
      <c r="F273" s="8"/>
    </row>
    <row r="274" spans="2:6" x14ac:dyDescent="0.3">
      <c r="B274" s="8"/>
      <c r="C274" s="8"/>
      <c r="D274" s="8"/>
      <c r="E274" s="8"/>
      <c r="F274" s="8"/>
    </row>
    <row r="275" spans="2:6" x14ac:dyDescent="0.3">
      <c r="B275" s="8"/>
      <c r="C275" s="8"/>
      <c r="D275" s="8"/>
      <c r="E275" s="8"/>
      <c r="F275" s="8"/>
    </row>
    <row r="276" spans="2:6" x14ac:dyDescent="0.3">
      <c r="B276" s="8"/>
      <c r="C276" s="8"/>
      <c r="D276" s="8"/>
      <c r="E276" s="8"/>
      <c r="F276" s="8"/>
    </row>
    <row r="277" spans="2:6" x14ac:dyDescent="0.3">
      <c r="B277" s="8"/>
      <c r="C277" s="8"/>
      <c r="D277" s="8"/>
      <c r="E277" s="8"/>
      <c r="F277" s="8"/>
    </row>
    <row r="278" spans="2:6" x14ac:dyDescent="0.3">
      <c r="B278" s="8"/>
      <c r="C278" s="8"/>
      <c r="D278" s="8"/>
      <c r="E278" s="8"/>
      <c r="F278" s="8"/>
    </row>
    <row r="279" spans="2:6" x14ac:dyDescent="0.3">
      <c r="B279" s="8"/>
      <c r="C279" s="8"/>
      <c r="D279" s="8"/>
      <c r="E279" s="8"/>
      <c r="F279" s="8"/>
    </row>
    <row r="280" spans="2:6" x14ac:dyDescent="0.3">
      <c r="B280" s="8"/>
      <c r="C280" s="8"/>
      <c r="D280" s="8"/>
      <c r="E280" s="8"/>
      <c r="F280" s="8"/>
    </row>
    <row r="281" spans="2:6" x14ac:dyDescent="0.3">
      <c r="B281" s="8"/>
      <c r="C281" s="8"/>
      <c r="D281" s="8"/>
      <c r="E281" s="8"/>
      <c r="F281" s="8"/>
    </row>
    <row r="282" spans="2:6" x14ac:dyDescent="0.3">
      <c r="B282" s="8"/>
      <c r="C282" s="8"/>
      <c r="D282" s="8"/>
      <c r="E282" s="8"/>
      <c r="F282" s="8"/>
    </row>
    <row r="283" spans="2:6" x14ac:dyDescent="0.3">
      <c r="B283" s="8"/>
      <c r="C283" s="8"/>
      <c r="D283" s="8"/>
      <c r="E283" s="8"/>
      <c r="F283" s="8"/>
    </row>
    <row r="284" spans="2:6" x14ac:dyDescent="0.3">
      <c r="B284" s="8"/>
      <c r="C284" s="8"/>
      <c r="D284" s="8"/>
      <c r="E284" s="8"/>
      <c r="F284" s="8"/>
    </row>
    <row r="285" spans="2:6" x14ac:dyDescent="0.3">
      <c r="B285" s="8"/>
      <c r="C285" s="8"/>
      <c r="D285" s="8"/>
      <c r="E285" s="8"/>
      <c r="F285" s="8"/>
    </row>
    <row r="286" spans="2:6" x14ac:dyDescent="0.3">
      <c r="B286" s="8"/>
      <c r="C286" s="8"/>
      <c r="D286" s="8"/>
      <c r="E286" s="8"/>
      <c r="F286" s="8"/>
    </row>
    <row r="287" spans="2:6" x14ac:dyDescent="0.3">
      <c r="B287" s="8"/>
      <c r="C287" s="8"/>
      <c r="D287" s="8"/>
      <c r="E287" s="8"/>
      <c r="F287" s="8"/>
    </row>
    <row r="288" spans="2:6" x14ac:dyDescent="0.3">
      <c r="B288" s="8"/>
      <c r="C288" s="8"/>
      <c r="D288" s="8"/>
      <c r="E288" s="8"/>
      <c r="F288" s="8"/>
    </row>
    <row r="289" spans="2:6" x14ac:dyDescent="0.3">
      <c r="B289" s="8"/>
      <c r="C289" s="8"/>
      <c r="D289" s="8"/>
      <c r="E289" s="8"/>
      <c r="F289" s="8"/>
    </row>
    <row r="290" spans="2:6" x14ac:dyDescent="0.3">
      <c r="B290" s="8"/>
      <c r="C290" s="8"/>
      <c r="D290" s="8"/>
      <c r="E290" s="8"/>
      <c r="F290" s="8"/>
    </row>
    <row r="291" spans="2:6" x14ac:dyDescent="0.3">
      <c r="B291" s="8"/>
      <c r="C291" s="8"/>
      <c r="D291" s="8"/>
      <c r="E291" s="8"/>
      <c r="F291" s="8"/>
    </row>
    <row r="292" spans="2:6" x14ac:dyDescent="0.3">
      <c r="B292" s="8"/>
      <c r="C292" s="8"/>
      <c r="D292" s="8"/>
      <c r="E292" s="8"/>
      <c r="F292" s="8"/>
    </row>
    <row r="293" spans="2:6" x14ac:dyDescent="0.3">
      <c r="B293" s="8"/>
      <c r="C293" s="8"/>
      <c r="D293" s="8"/>
      <c r="E293" s="8"/>
      <c r="F293" s="8"/>
    </row>
    <row r="294" spans="2:6" x14ac:dyDescent="0.3">
      <c r="B294" s="8"/>
      <c r="C294" s="8"/>
      <c r="D294" s="8"/>
      <c r="E294" s="8"/>
      <c r="F294" s="8"/>
    </row>
    <row r="295" spans="2:6" x14ac:dyDescent="0.3">
      <c r="B295" s="8"/>
      <c r="C295" s="8"/>
      <c r="D295" s="8"/>
      <c r="E295" s="8"/>
      <c r="F295" s="8"/>
    </row>
    <row r="296" spans="2:6" x14ac:dyDescent="0.3">
      <c r="B296" s="8"/>
      <c r="C296" s="8"/>
      <c r="D296" s="8"/>
      <c r="E296" s="8"/>
      <c r="F296" s="8"/>
    </row>
    <row r="297" spans="2:6" x14ac:dyDescent="0.3">
      <c r="B297" s="8"/>
      <c r="C297" s="8"/>
      <c r="D297" s="8"/>
      <c r="E297" s="8"/>
      <c r="F297" s="8"/>
    </row>
    <row r="298" spans="2:6" x14ac:dyDescent="0.3">
      <c r="B298" s="8"/>
      <c r="C298" s="8"/>
      <c r="D298" s="8"/>
      <c r="E298" s="8"/>
      <c r="F298" s="8"/>
    </row>
    <row r="299" spans="2:6" x14ac:dyDescent="0.3">
      <c r="B299" s="8"/>
      <c r="C299" s="8"/>
      <c r="D299" s="8"/>
      <c r="E299" s="8"/>
      <c r="F299" s="8"/>
    </row>
    <row r="300" spans="2:6" x14ac:dyDescent="0.3">
      <c r="B300" s="8"/>
      <c r="C300" s="8"/>
      <c r="D300" s="8"/>
      <c r="E300" s="8"/>
      <c r="F300" s="8"/>
    </row>
    <row r="301" spans="2:6" x14ac:dyDescent="0.3">
      <c r="B301" s="8"/>
      <c r="C301" s="8"/>
      <c r="D301" s="8"/>
      <c r="E301" s="8"/>
      <c r="F301" s="8"/>
    </row>
    <row r="302" spans="2:6" x14ac:dyDescent="0.3">
      <c r="B302" s="8"/>
      <c r="C302" s="8"/>
      <c r="D302" s="8"/>
      <c r="E302" s="8"/>
      <c r="F302" s="8"/>
    </row>
    <row r="303" spans="2:6" x14ac:dyDescent="0.3">
      <c r="B303" s="8"/>
      <c r="C303" s="8"/>
      <c r="D303" s="8"/>
      <c r="E303" s="8"/>
      <c r="F303" s="8"/>
    </row>
    <row r="304" spans="2:6" x14ac:dyDescent="0.3">
      <c r="B304" s="8"/>
      <c r="C304" s="8"/>
      <c r="D304" s="8"/>
      <c r="E304" s="8"/>
      <c r="F304" s="8"/>
    </row>
    <row r="305" spans="2:6" x14ac:dyDescent="0.3">
      <c r="B305" s="8"/>
      <c r="C305" s="8"/>
      <c r="D305" s="8"/>
      <c r="E305" s="8"/>
      <c r="F305" s="8"/>
    </row>
    <row r="306" spans="2:6" x14ac:dyDescent="0.3">
      <c r="B306" s="8"/>
      <c r="C306" s="8"/>
      <c r="D306" s="8"/>
      <c r="E306" s="8"/>
      <c r="F306" s="8"/>
    </row>
    <row r="307" spans="2:6" x14ac:dyDescent="0.3">
      <c r="B307" s="8"/>
      <c r="C307" s="8"/>
      <c r="D307" s="8"/>
      <c r="E307" s="8"/>
      <c r="F307" s="8"/>
    </row>
    <row r="308" spans="2:6" x14ac:dyDescent="0.3">
      <c r="B308" s="8"/>
      <c r="C308" s="8"/>
      <c r="D308" s="8"/>
      <c r="E308" s="8"/>
      <c r="F308" s="8"/>
    </row>
    <row r="309" spans="2:6" x14ac:dyDescent="0.3">
      <c r="B309" s="8"/>
      <c r="C309" s="8"/>
      <c r="D309" s="8"/>
      <c r="E309" s="8"/>
      <c r="F309" s="8"/>
    </row>
    <row r="310" spans="2:6" x14ac:dyDescent="0.3">
      <c r="B310" s="8"/>
      <c r="C310" s="8"/>
      <c r="D310" s="8"/>
      <c r="E310" s="8"/>
      <c r="F310" s="8"/>
    </row>
    <row r="311" spans="2:6" x14ac:dyDescent="0.3">
      <c r="B311" s="8"/>
      <c r="C311" s="8"/>
      <c r="D311" s="8"/>
      <c r="E311" s="8"/>
      <c r="F311" s="8"/>
    </row>
    <row r="312" spans="2:6" x14ac:dyDescent="0.3">
      <c r="B312" s="8"/>
      <c r="C312" s="8"/>
      <c r="D312" s="8"/>
      <c r="E312" s="8"/>
      <c r="F312" s="8"/>
    </row>
    <row r="313" spans="2:6" x14ac:dyDescent="0.3">
      <c r="B313" s="8"/>
      <c r="C313" s="8"/>
      <c r="D313" s="8"/>
      <c r="E313" s="8"/>
      <c r="F313" s="8"/>
    </row>
    <row r="314" spans="2:6" x14ac:dyDescent="0.3">
      <c r="B314" s="8"/>
      <c r="C314" s="8"/>
      <c r="D314" s="8"/>
      <c r="E314" s="8"/>
      <c r="F314" s="8"/>
    </row>
    <row r="315" spans="2:6" x14ac:dyDescent="0.3">
      <c r="B315" s="8"/>
      <c r="C315" s="8"/>
      <c r="D315" s="8"/>
      <c r="E315" s="8"/>
      <c r="F315" s="8"/>
    </row>
    <row r="316" spans="2:6" x14ac:dyDescent="0.3">
      <c r="B316" s="8"/>
      <c r="C316" s="8"/>
      <c r="D316" s="8"/>
      <c r="E316" s="8"/>
      <c r="F316" s="8"/>
    </row>
    <row r="317" spans="2:6" x14ac:dyDescent="0.3">
      <c r="B317" s="8"/>
      <c r="C317" s="8"/>
      <c r="D317" s="8"/>
      <c r="E317" s="8"/>
      <c r="F317" s="8"/>
    </row>
    <row r="318" spans="2:6" x14ac:dyDescent="0.3">
      <c r="B318" s="8"/>
      <c r="C318" s="8"/>
      <c r="D318" s="8"/>
      <c r="E318" s="8"/>
      <c r="F318" s="8"/>
    </row>
    <row r="319" spans="2:6" x14ac:dyDescent="0.3">
      <c r="B319" s="8"/>
      <c r="C319" s="8"/>
      <c r="D319" s="8"/>
      <c r="E319" s="8"/>
      <c r="F319" s="8"/>
    </row>
    <row r="320" spans="2:6" x14ac:dyDescent="0.3">
      <c r="B320" s="8"/>
      <c r="C320" s="8"/>
      <c r="D320" s="8"/>
      <c r="E320" s="8"/>
      <c r="F320" s="8"/>
    </row>
    <row r="321" spans="2:6" x14ac:dyDescent="0.3">
      <c r="B321" s="8"/>
      <c r="C321" s="8"/>
      <c r="D321" s="8"/>
      <c r="E321" s="8"/>
      <c r="F321" s="8"/>
    </row>
    <row r="322" spans="2:6" x14ac:dyDescent="0.3">
      <c r="B322" s="8"/>
      <c r="C322" s="8"/>
      <c r="D322" s="8"/>
      <c r="E322" s="8"/>
      <c r="F322" s="8"/>
    </row>
    <row r="323" spans="2:6" x14ac:dyDescent="0.3">
      <c r="B323" s="8"/>
      <c r="C323" s="8"/>
      <c r="D323" s="8"/>
      <c r="E323" s="8"/>
      <c r="F323" s="8"/>
    </row>
    <row r="324" spans="2:6" x14ac:dyDescent="0.3">
      <c r="B324" s="8"/>
      <c r="C324" s="8"/>
      <c r="D324" s="8"/>
      <c r="E324" s="8"/>
      <c r="F324" s="8"/>
    </row>
    <row r="325" spans="2:6" x14ac:dyDescent="0.3">
      <c r="B325" s="8"/>
      <c r="C325" s="8"/>
      <c r="D325" s="8"/>
      <c r="E325" s="8"/>
      <c r="F325" s="8"/>
    </row>
    <row r="326" spans="2:6" x14ac:dyDescent="0.3">
      <c r="B326" s="8"/>
      <c r="C326" s="8"/>
      <c r="D326" s="8"/>
      <c r="E326" s="8"/>
      <c r="F326" s="8"/>
    </row>
    <row r="327" spans="2:6" x14ac:dyDescent="0.3">
      <c r="B327" s="8"/>
      <c r="C327" s="8"/>
      <c r="D327" s="8"/>
      <c r="E327" s="8"/>
      <c r="F327" s="8"/>
    </row>
    <row r="328" spans="2:6" x14ac:dyDescent="0.3">
      <c r="B328" s="8"/>
      <c r="C328" s="8"/>
      <c r="D328" s="8"/>
      <c r="E328" s="8"/>
      <c r="F328" s="8"/>
    </row>
    <row r="329" spans="2:6" x14ac:dyDescent="0.3">
      <c r="B329" s="8"/>
      <c r="C329" s="8"/>
      <c r="D329" s="8"/>
      <c r="E329" s="8"/>
      <c r="F329" s="8"/>
    </row>
    <row r="330" spans="2:6" x14ac:dyDescent="0.3">
      <c r="B330" s="8"/>
      <c r="C330" s="8"/>
      <c r="D330" s="8"/>
      <c r="E330" s="8"/>
      <c r="F330" s="8"/>
    </row>
    <row r="331" spans="2:6" x14ac:dyDescent="0.3">
      <c r="B331" s="8"/>
      <c r="C331" s="8"/>
      <c r="D331" s="8"/>
      <c r="E331" s="8"/>
      <c r="F331" s="8"/>
    </row>
    <row r="332" spans="2:6" x14ac:dyDescent="0.3">
      <c r="B332" s="8"/>
      <c r="C332" s="8"/>
      <c r="D332" s="8"/>
      <c r="E332" s="8"/>
      <c r="F332" s="8"/>
    </row>
    <row r="333" spans="2:6" x14ac:dyDescent="0.3">
      <c r="B333" s="8"/>
      <c r="C333" s="8"/>
      <c r="D333" s="8"/>
      <c r="E333" s="8"/>
      <c r="F333" s="8"/>
    </row>
    <row r="334" spans="2:6" x14ac:dyDescent="0.3">
      <c r="B334" s="8"/>
      <c r="C334" s="8"/>
      <c r="D334" s="8"/>
      <c r="E334" s="8"/>
      <c r="F334" s="8"/>
    </row>
    <row r="335" spans="2:6" x14ac:dyDescent="0.3">
      <c r="B335" s="8"/>
      <c r="C335" s="8"/>
      <c r="D335" s="8"/>
      <c r="E335" s="8"/>
      <c r="F335" s="8"/>
    </row>
    <row r="336" spans="2:6" x14ac:dyDescent="0.3">
      <c r="B336" s="8"/>
      <c r="C336" s="8"/>
      <c r="D336" s="8"/>
      <c r="E336" s="8"/>
      <c r="F336" s="8"/>
    </row>
    <row r="337" spans="2:6" x14ac:dyDescent="0.3">
      <c r="B337" s="8"/>
      <c r="C337" s="8"/>
      <c r="D337" s="8"/>
      <c r="E337" s="8"/>
      <c r="F337" s="8"/>
    </row>
    <row r="338" spans="2:6" x14ac:dyDescent="0.3">
      <c r="B338" s="8"/>
      <c r="C338" s="8"/>
      <c r="D338" s="8"/>
      <c r="E338" s="8"/>
      <c r="F338" s="8"/>
    </row>
    <row r="339" spans="2:6" x14ac:dyDescent="0.3">
      <c r="B339" s="8"/>
      <c r="C339" s="8"/>
      <c r="D339" s="8"/>
      <c r="E339" s="8"/>
      <c r="F339" s="8"/>
    </row>
    <row r="340" spans="2:6" x14ac:dyDescent="0.3">
      <c r="B340" s="8"/>
      <c r="C340" s="8"/>
      <c r="D340" s="8"/>
      <c r="E340" s="8"/>
      <c r="F340" s="8"/>
    </row>
    <row r="341" spans="2:6" x14ac:dyDescent="0.3">
      <c r="B341" s="8"/>
      <c r="C341" s="8"/>
      <c r="D341" s="8"/>
      <c r="E341" s="8"/>
      <c r="F341" s="8"/>
    </row>
    <row r="342" spans="2:6" x14ac:dyDescent="0.3">
      <c r="B342" s="8"/>
      <c r="C342" s="8"/>
      <c r="D342" s="8"/>
      <c r="E342" s="8"/>
      <c r="F342" s="8"/>
    </row>
    <row r="343" spans="2:6" x14ac:dyDescent="0.3">
      <c r="B343" s="8"/>
      <c r="C343" s="8"/>
      <c r="D343" s="8"/>
      <c r="E343" s="8"/>
      <c r="F343" s="8"/>
    </row>
    <row r="344" spans="2:6" x14ac:dyDescent="0.3">
      <c r="B344" s="8"/>
      <c r="C344" s="8"/>
      <c r="D344" s="8"/>
      <c r="E344" s="8"/>
      <c r="F344" s="8"/>
    </row>
    <row r="345" spans="2:6" x14ac:dyDescent="0.3">
      <c r="B345" s="8"/>
      <c r="C345" s="8"/>
      <c r="D345" s="8"/>
      <c r="E345" s="8"/>
      <c r="F345" s="8"/>
    </row>
    <row r="346" spans="2:6" x14ac:dyDescent="0.3">
      <c r="B346" s="8"/>
      <c r="C346" s="8"/>
      <c r="D346" s="8"/>
      <c r="E346" s="8"/>
      <c r="F346" s="8"/>
    </row>
    <row r="347" spans="2:6" x14ac:dyDescent="0.3">
      <c r="B347" s="8"/>
      <c r="C347" s="8"/>
      <c r="D347" s="8"/>
      <c r="E347" s="8"/>
      <c r="F347" s="8"/>
    </row>
    <row r="348" spans="2:6" x14ac:dyDescent="0.3">
      <c r="B348" s="8"/>
      <c r="C348" s="8"/>
      <c r="D348" s="8"/>
      <c r="E348" s="8"/>
      <c r="F348" s="8"/>
    </row>
    <row r="349" spans="2:6" x14ac:dyDescent="0.3">
      <c r="B349" s="8"/>
      <c r="C349" s="8"/>
      <c r="D349" s="8"/>
      <c r="E349" s="8"/>
      <c r="F349" s="8"/>
    </row>
    <row r="350" spans="2:6" x14ac:dyDescent="0.3">
      <c r="B350" s="8"/>
      <c r="C350" s="8"/>
      <c r="D350" s="8"/>
      <c r="E350" s="8"/>
      <c r="F350" s="8"/>
    </row>
    <row r="351" spans="2:6" x14ac:dyDescent="0.3">
      <c r="B351" s="8"/>
      <c r="C351" s="8"/>
      <c r="D351" s="8"/>
      <c r="E351" s="8"/>
      <c r="F351" s="8"/>
    </row>
    <row r="352" spans="2:6" x14ac:dyDescent="0.3">
      <c r="B352" s="8"/>
      <c r="C352" s="8"/>
      <c r="D352" s="8"/>
      <c r="E352" s="8"/>
      <c r="F352" s="8"/>
    </row>
    <row r="353" spans="2:6" x14ac:dyDescent="0.3">
      <c r="B353" s="8"/>
      <c r="C353" s="8"/>
      <c r="D353" s="8"/>
      <c r="E353" s="8"/>
      <c r="F353" s="8"/>
    </row>
    <row r="354" spans="2:6" x14ac:dyDescent="0.3">
      <c r="B354" s="8"/>
      <c r="C354" s="8"/>
      <c r="D354" s="8"/>
      <c r="E354" s="8"/>
      <c r="F354" s="8"/>
    </row>
    <row r="355" spans="2:6" x14ac:dyDescent="0.3">
      <c r="B355" s="8"/>
      <c r="C355" s="8"/>
      <c r="D355" s="8"/>
      <c r="E355" s="8"/>
      <c r="F355" s="8"/>
    </row>
    <row r="356" spans="2:6" x14ac:dyDescent="0.3">
      <c r="B356" s="8"/>
      <c r="C356" s="8"/>
      <c r="D356" s="8"/>
      <c r="E356" s="8"/>
      <c r="F356" s="8"/>
    </row>
    <row r="357" spans="2:6" x14ac:dyDescent="0.3">
      <c r="B357" s="8"/>
      <c r="C357" s="8"/>
      <c r="D357" s="8"/>
      <c r="E357" s="8"/>
      <c r="F357" s="8"/>
    </row>
    <row r="358" spans="2:6" x14ac:dyDescent="0.3">
      <c r="B358" s="8"/>
      <c r="C358" s="8"/>
      <c r="D358" s="8"/>
      <c r="E358" s="8"/>
      <c r="F358" s="8"/>
    </row>
    <row r="359" spans="2:6" x14ac:dyDescent="0.3">
      <c r="B359" s="8"/>
      <c r="C359" s="8"/>
      <c r="D359" s="8"/>
      <c r="E359" s="8"/>
      <c r="F359" s="8"/>
    </row>
    <row r="360" spans="2:6" x14ac:dyDescent="0.3">
      <c r="B360" s="8"/>
      <c r="C360" s="8"/>
      <c r="D360" s="8"/>
      <c r="E360" s="8"/>
      <c r="F360" s="8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C0F5-772A-C445-97D1-148931980900}">
  <sheetPr>
    <tabColor theme="0" tint="-0.14999847407452621"/>
  </sheetPr>
  <dimension ref="A1:F343"/>
  <sheetViews>
    <sheetView topLeftCell="A5" workbookViewId="0">
      <selection activeCell="A24" sqref="A4:F217"/>
    </sheetView>
  </sheetViews>
  <sheetFormatPr defaultColWidth="10.796875" defaultRowHeight="15.6" x14ac:dyDescent="0.3"/>
  <cols>
    <col min="1" max="1" width="67.796875" style="2" customWidth="1"/>
    <col min="2" max="6" width="21.296875" style="2" bestFit="1" customWidth="1"/>
    <col min="7" max="16384" width="10.796875" style="2"/>
  </cols>
  <sheetData>
    <row r="1" spans="1:6" ht="25.2" x14ac:dyDescent="0.3">
      <c r="A1" s="229" t="s">
        <v>0</v>
      </c>
      <c r="B1" s="229"/>
      <c r="C1" s="229"/>
      <c r="D1" s="229"/>
      <c r="E1" s="229"/>
      <c r="F1" s="229"/>
    </row>
    <row r="2" spans="1:6" ht="23.4" x14ac:dyDescent="0.3">
      <c r="A2" s="1" t="str">
        <f>'Cân đối kế toán '!A2</f>
        <v>Ngân hàng TMCP Ngoại thương Việt Nam</v>
      </c>
    </row>
    <row r="4" spans="1:6" s="10" customFormat="1" x14ac:dyDescent="0.3">
      <c r="A4" s="218" t="s">
        <v>2</v>
      </c>
      <c r="B4" s="221">
        <v>2019</v>
      </c>
      <c r="C4" s="221">
        <v>2020</v>
      </c>
      <c r="D4" s="221">
        <v>2021</v>
      </c>
      <c r="E4" s="221">
        <v>2022</v>
      </c>
      <c r="F4" s="221">
        <v>2023</v>
      </c>
    </row>
    <row r="5" spans="1:6" x14ac:dyDescent="0.3">
      <c r="A5" s="220" t="s">
        <v>202</v>
      </c>
      <c r="B5" s="184">
        <v>1801.126</v>
      </c>
      <c r="C5" s="184">
        <v>1954.0609999999999</v>
      </c>
      <c r="D5" s="184">
        <v>2766.098</v>
      </c>
      <c r="E5" s="184">
        <v>1499.6869999999999</v>
      </c>
      <c r="F5" s="184">
        <v>2495.4079999999999</v>
      </c>
    </row>
    <row r="6" spans="1:6" x14ac:dyDescent="0.3">
      <c r="A6" s="220" t="s">
        <v>203</v>
      </c>
      <c r="B6" s="184">
        <v>1538.5920000000001</v>
      </c>
      <c r="C6" s="184">
        <v>1665.7909999999999</v>
      </c>
      <c r="D6" s="184">
        <v>2492.1779999999999</v>
      </c>
      <c r="E6" s="184">
        <v>1397.4670000000001</v>
      </c>
      <c r="F6" s="184">
        <v>2249.2220000000002</v>
      </c>
    </row>
    <row r="7" spans="1:6" x14ac:dyDescent="0.3">
      <c r="A7" s="220" t="s">
        <v>204</v>
      </c>
      <c r="B7" s="184">
        <v>994.59199999999998</v>
      </c>
      <c r="C7" s="184">
        <v>1126.4169999999999</v>
      </c>
      <c r="D7" s="184">
        <v>1493.8140000000001</v>
      </c>
      <c r="E7" s="184">
        <v>357.77300000000002</v>
      </c>
      <c r="F7" s="184">
        <v>669.30600000000004</v>
      </c>
    </row>
    <row r="8" spans="1:6" x14ac:dyDescent="0.3">
      <c r="A8" s="220" t="s">
        <v>205</v>
      </c>
      <c r="B8" s="184">
        <v>0</v>
      </c>
      <c r="C8" s="184">
        <v>200.124</v>
      </c>
      <c r="D8" s="184">
        <v>499.36399999999998</v>
      </c>
      <c r="E8" s="184">
        <v>693.76900000000001</v>
      </c>
      <c r="F8" s="184">
        <v>1393.6980000000001</v>
      </c>
    </row>
    <row r="9" spans="1:6" x14ac:dyDescent="0.3">
      <c r="A9" s="220" t="s">
        <v>206</v>
      </c>
      <c r="B9" s="184">
        <v>544</v>
      </c>
      <c r="C9" s="184">
        <v>339.25</v>
      </c>
      <c r="D9" s="184">
        <v>499</v>
      </c>
      <c r="E9" s="184">
        <v>345.92500000000001</v>
      </c>
      <c r="F9" s="184">
        <v>186.21799999999999</v>
      </c>
    </row>
    <row r="10" spans="1:6" x14ac:dyDescent="0.3">
      <c r="A10" s="220" t="s">
        <v>207</v>
      </c>
      <c r="B10" s="184">
        <v>0</v>
      </c>
      <c r="C10" s="184">
        <v>0</v>
      </c>
      <c r="D10" s="184">
        <v>0</v>
      </c>
      <c r="E10" s="184">
        <v>0</v>
      </c>
      <c r="F10" s="184">
        <v>0</v>
      </c>
    </row>
    <row r="11" spans="1:6" x14ac:dyDescent="0.3">
      <c r="A11" s="220" t="s">
        <v>208</v>
      </c>
      <c r="B11" s="184">
        <v>351.036</v>
      </c>
      <c r="C11" s="184">
        <v>326.07</v>
      </c>
      <c r="D11" s="184">
        <v>330.35300000000001</v>
      </c>
      <c r="E11" s="184">
        <v>146.108</v>
      </c>
      <c r="F11" s="184">
        <v>262.173</v>
      </c>
    </row>
    <row r="12" spans="1:6" x14ac:dyDescent="0.3">
      <c r="A12" s="220" t="s">
        <v>209</v>
      </c>
      <c r="B12" s="184">
        <v>4.7050000000000001</v>
      </c>
      <c r="C12" s="184">
        <v>29.437000000000001</v>
      </c>
      <c r="D12" s="184">
        <v>77.084000000000003</v>
      </c>
      <c r="E12" s="184">
        <v>12.531000000000001</v>
      </c>
      <c r="F12" s="184">
        <v>13.454000000000001</v>
      </c>
    </row>
    <row r="13" spans="1:6" x14ac:dyDescent="0.3">
      <c r="A13" s="220" t="s">
        <v>210</v>
      </c>
      <c r="B13" s="184">
        <v>346.33100000000002</v>
      </c>
      <c r="C13" s="184">
        <v>296.63299999999998</v>
      </c>
      <c r="D13" s="184">
        <v>253.26900000000001</v>
      </c>
      <c r="E13" s="184">
        <v>133.577</v>
      </c>
      <c r="F13" s="184">
        <v>248.71899999999999</v>
      </c>
    </row>
    <row r="14" spans="1:6" x14ac:dyDescent="0.3">
      <c r="A14" s="220" t="s">
        <v>211</v>
      </c>
      <c r="B14" s="184">
        <v>0</v>
      </c>
      <c r="C14" s="184">
        <v>0</v>
      </c>
      <c r="D14" s="184">
        <v>0</v>
      </c>
      <c r="E14" s="184">
        <v>0</v>
      </c>
      <c r="F14" s="184">
        <v>0</v>
      </c>
    </row>
    <row r="15" spans="1:6" x14ac:dyDescent="0.3">
      <c r="A15" s="220" t="s">
        <v>212</v>
      </c>
      <c r="B15" s="184">
        <v>0</v>
      </c>
      <c r="C15" s="184">
        <v>0</v>
      </c>
      <c r="D15" s="184">
        <v>0</v>
      </c>
      <c r="E15" s="184">
        <v>0</v>
      </c>
      <c r="F15" s="184">
        <v>0</v>
      </c>
    </row>
    <row r="16" spans="1:6" x14ac:dyDescent="0.3">
      <c r="A16" s="220" t="s">
        <v>213</v>
      </c>
      <c r="B16" s="184">
        <v>-88.501999999999995</v>
      </c>
      <c r="C16" s="184">
        <v>-37.799999999999997</v>
      </c>
      <c r="D16" s="184">
        <v>-56.433</v>
      </c>
      <c r="E16" s="184">
        <v>-43.887999999999998</v>
      </c>
      <c r="F16" s="184">
        <v>-15.987</v>
      </c>
    </row>
    <row r="17" spans="1:6" x14ac:dyDescent="0.3">
      <c r="A17" s="220" t="s">
        <v>214</v>
      </c>
      <c r="B17" s="184">
        <v>734706.89099999995</v>
      </c>
      <c r="C17" s="184">
        <v>839788.26100000006</v>
      </c>
      <c r="D17" s="184">
        <v>960749.95499999996</v>
      </c>
      <c r="E17" s="184">
        <v>1145066.25</v>
      </c>
      <c r="F17" s="184">
        <v>1270359.0179999999</v>
      </c>
    </row>
    <row r="18" spans="1:6" x14ac:dyDescent="0.3">
      <c r="A18" s="220" t="s">
        <v>215</v>
      </c>
      <c r="B18" s="184">
        <v>726968.21299999999</v>
      </c>
      <c r="C18" s="184">
        <v>832010.22</v>
      </c>
      <c r="D18" s="184">
        <v>951443.83</v>
      </c>
      <c r="E18" s="184">
        <v>1136450.7860000001</v>
      </c>
      <c r="F18" s="184">
        <v>1258418.5859999999</v>
      </c>
    </row>
    <row r="19" spans="1:6" x14ac:dyDescent="0.3">
      <c r="A19" s="220" t="s">
        <v>216</v>
      </c>
      <c r="B19" s="184">
        <v>3172.63</v>
      </c>
      <c r="C19" s="184">
        <v>2549.7130000000002</v>
      </c>
      <c r="D19" s="184">
        <v>3879.2260000000001</v>
      </c>
      <c r="E19" s="184">
        <v>2908.12</v>
      </c>
      <c r="F19" s="184">
        <v>3396.873</v>
      </c>
    </row>
    <row r="20" spans="1:6" x14ac:dyDescent="0.3">
      <c r="A20" s="220" t="s">
        <v>217</v>
      </c>
      <c r="B20" s="184">
        <v>4429.0290000000005</v>
      </c>
      <c r="C20" s="184">
        <v>4608.0559999999996</v>
      </c>
      <c r="D20" s="184">
        <v>4376.12</v>
      </c>
      <c r="E20" s="184">
        <v>4991.1149999999998</v>
      </c>
      <c r="F20" s="184">
        <v>6055.3940000000002</v>
      </c>
    </row>
    <row r="21" spans="1:6" x14ac:dyDescent="0.3">
      <c r="A21" s="220" t="s">
        <v>218</v>
      </c>
      <c r="B21" s="184">
        <v>1</v>
      </c>
      <c r="C21" s="184">
        <v>0</v>
      </c>
      <c r="D21" s="184">
        <v>0.88900000000000001</v>
      </c>
      <c r="E21" s="184">
        <v>7.4089999999999998</v>
      </c>
      <c r="F21" s="184">
        <v>1646.6179999999999</v>
      </c>
    </row>
    <row r="22" spans="1:6" x14ac:dyDescent="0.3">
      <c r="A22" s="220" t="s">
        <v>219</v>
      </c>
      <c r="B22" s="184">
        <v>136.01900000000001</v>
      </c>
      <c r="C22" s="184">
        <v>620.27200000000005</v>
      </c>
      <c r="D22" s="184">
        <v>1049.8900000000001</v>
      </c>
      <c r="E22" s="184">
        <v>708.82</v>
      </c>
      <c r="F22" s="184">
        <v>841.54700000000003</v>
      </c>
    </row>
    <row r="23" spans="1:6" x14ac:dyDescent="0.3">
      <c r="A23" s="220" t="s">
        <v>220</v>
      </c>
      <c r="B23" s="184">
        <v>0</v>
      </c>
      <c r="C23" s="184">
        <v>0</v>
      </c>
      <c r="D23" s="184">
        <v>0</v>
      </c>
      <c r="E23" s="184">
        <v>0</v>
      </c>
      <c r="F23" s="184">
        <v>0</v>
      </c>
    </row>
    <row r="24" spans="1:6" x14ac:dyDescent="0.3">
      <c r="A24" s="220" t="s">
        <v>221</v>
      </c>
      <c r="B24" s="184">
        <v>0</v>
      </c>
      <c r="C24" s="184">
        <v>0</v>
      </c>
      <c r="D24" s="184">
        <v>0</v>
      </c>
      <c r="E24" s="184">
        <v>0</v>
      </c>
      <c r="F24" s="184">
        <v>0</v>
      </c>
    </row>
    <row r="25" spans="1:6" x14ac:dyDescent="0.3">
      <c r="A25" s="220" t="s">
        <v>222</v>
      </c>
      <c r="B25" s="184">
        <v>0</v>
      </c>
      <c r="C25" s="184">
        <v>0</v>
      </c>
      <c r="D25" s="184">
        <v>0</v>
      </c>
      <c r="E25" s="184">
        <v>0</v>
      </c>
      <c r="F25" s="184">
        <v>0</v>
      </c>
    </row>
    <row r="26" spans="1:6" x14ac:dyDescent="0.3">
      <c r="A26" s="220" t="s">
        <v>223</v>
      </c>
      <c r="B26" s="184">
        <v>0</v>
      </c>
      <c r="C26" s="184">
        <v>0</v>
      </c>
      <c r="D26" s="184">
        <v>0</v>
      </c>
      <c r="E26" s="184">
        <v>0</v>
      </c>
      <c r="F26" s="184">
        <v>0</v>
      </c>
    </row>
    <row r="27" spans="1:6" x14ac:dyDescent="0.3">
      <c r="A27" s="220" t="s">
        <v>224</v>
      </c>
      <c r="B27" s="184">
        <v>0</v>
      </c>
      <c r="C27" s="184">
        <v>0</v>
      </c>
      <c r="D27" s="184">
        <v>0</v>
      </c>
      <c r="E27" s="184">
        <v>0</v>
      </c>
      <c r="F27" s="184">
        <v>0</v>
      </c>
    </row>
    <row r="28" spans="1:6" x14ac:dyDescent="0.3">
      <c r="A28" s="220" t="s">
        <v>225</v>
      </c>
      <c r="B28" s="184">
        <v>0</v>
      </c>
      <c r="C28" s="184">
        <v>0</v>
      </c>
      <c r="D28" s="184">
        <v>0</v>
      </c>
      <c r="E28" s="184">
        <v>0</v>
      </c>
      <c r="F28" s="184">
        <v>0</v>
      </c>
    </row>
    <row r="29" spans="1:6" x14ac:dyDescent="0.3">
      <c r="A29" s="220" t="s">
        <v>226</v>
      </c>
      <c r="B29" s="184">
        <v>734706.89099999995</v>
      </c>
      <c r="C29" s="184">
        <v>839788.26100000006</v>
      </c>
      <c r="D29" s="184">
        <v>960749.95499999996</v>
      </c>
      <c r="E29" s="184">
        <v>1145066.25</v>
      </c>
      <c r="F29" s="184">
        <v>1270359.0179999999</v>
      </c>
    </row>
    <row r="30" spans="1:6" x14ac:dyDescent="0.3">
      <c r="A30" s="220" t="s">
        <v>227</v>
      </c>
      <c r="B30" s="184">
        <v>726342.42599999998</v>
      </c>
      <c r="C30" s="184">
        <v>830204.51699999999</v>
      </c>
      <c r="D30" s="184">
        <v>951130.99399999995</v>
      </c>
      <c r="E30" s="184">
        <v>1133162.47</v>
      </c>
      <c r="F30" s="184">
        <v>1252344.351</v>
      </c>
    </row>
    <row r="31" spans="1:6" x14ac:dyDescent="0.3">
      <c r="A31" s="220" t="s">
        <v>228</v>
      </c>
      <c r="B31" s="184">
        <v>2560.5320000000002</v>
      </c>
      <c r="C31" s="184">
        <v>4354.1750000000002</v>
      </c>
      <c r="D31" s="184">
        <v>3497.8330000000001</v>
      </c>
      <c r="E31" s="184">
        <v>4083.3589999999999</v>
      </c>
      <c r="F31" s="184">
        <v>5559.7</v>
      </c>
    </row>
    <row r="32" spans="1:6" x14ac:dyDescent="0.3">
      <c r="A32" s="220" t="s">
        <v>229</v>
      </c>
      <c r="B32" s="184">
        <v>686.83900000000006</v>
      </c>
      <c r="C32" s="184">
        <v>596.59100000000001</v>
      </c>
      <c r="D32" s="184">
        <v>743.995</v>
      </c>
      <c r="E32" s="184">
        <v>414.767</v>
      </c>
      <c r="F32" s="184">
        <v>1737.2429999999999</v>
      </c>
    </row>
    <row r="33" spans="1:6" x14ac:dyDescent="0.3">
      <c r="A33" s="220" t="s">
        <v>230</v>
      </c>
      <c r="B33" s="184">
        <v>587.25300000000004</v>
      </c>
      <c r="C33" s="184">
        <v>223.292</v>
      </c>
      <c r="D33" s="184">
        <v>965.98699999999997</v>
      </c>
      <c r="E33" s="184">
        <v>782.37</v>
      </c>
      <c r="F33" s="184">
        <v>2876.9749999999999</v>
      </c>
    </row>
    <row r="34" spans="1:6" x14ac:dyDescent="0.3">
      <c r="A34" s="220" t="s">
        <v>231</v>
      </c>
      <c r="B34" s="184">
        <v>4529.8410000000003</v>
      </c>
      <c r="C34" s="184">
        <v>4409.6859999999997</v>
      </c>
      <c r="D34" s="184">
        <v>4411.1459999999997</v>
      </c>
      <c r="E34" s="184">
        <v>6623.2839999999997</v>
      </c>
      <c r="F34" s="184">
        <v>7840.7489999999998</v>
      </c>
    </row>
    <row r="35" spans="1:6" x14ac:dyDescent="0.3">
      <c r="A35" s="220" t="s">
        <v>232</v>
      </c>
      <c r="B35" s="184">
        <v>0</v>
      </c>
      <c r="C35" s="184">
        <v>0</v>
      </c>
      <c r="D35" s="184">
        <v>0</v>
      </c>
      <c r="E35" s="184">
        <v>0</v>
      </c>
      <c r="F35" s="184">
        <v>0</v>
      </c>
    </row>
    <row r="36" spans="1:6" x14ac:dyDescent="0.3">
      <c r="A36" s="220" t="s">
        <v>233</v>
      </c>
      <c r="B36" s="184">
        <v>734706.89099999995</v>
      </c>
      <c r="C36" s="184">
        <v>839788.26100000006</v>
      </c>
      <c r="D36" s="184">
        <v>960749.95499999996</v>
      </c>
      <c r="E36" s="184">
        <v>1145066.25</v>
      </c>
      <c r="F36" s="184">
        <v>1270359.0179999999</v>
      </c>
    </row>
    <row r="37" spans="1:6" x14ac:dyDescent="0.3">
      <c r="A37" s="220" t="s">
        <v>234</v>
      </c>
      <c r="B37" s="184">
        <v>384355.97899999999</v>
      </c>
      <c r="C37" s="184">
        <v>434373.69</v>
      </c>
      <c r="D37" s="184">
        <v>508285.89399999997</v>
      </c>
      <c r="E37" s="184">
        <v>651421.77599999995</v>
      </c>
      <c r="F37" s="184">
        <v>790604.80700000003</v>
      </c>
    </row>
    <row r="38" spans="1:6" x14ac:dyDescent="0.3">
      <c r="A38" s="220" t="s">
        <v>235</v>
      </c>
      <c r="B38" s="184">
        <v>48461.991999999998</v>
      </c>
      <c r="C38" s="184">
        <v>43091.944000000003</v>
      </c>
      <c r="D38" s="184">
        <v>40535.853999999999</v>
      </c>
      <c r="E38" s="184">
        <v>41726.955999999998</v>
      </c>
      <c r="F38" s="184">
        <v>46175.347000000002</v>
      </c>
    </row>
    <row r="39" spans="1:6" x14ac:dyDescent="0.3">
      <c r="A39" s="220" t="s">
        <v>236</v>
      </c>
      <c r="B39" s="184">
        <v>301888.92</v>
      </c>
      <c r="C39" s="184">
        <v>362322.62699999998</v>
      </c>
      <c r="D39" s="184">
        <v>411928.20699999999</v>
      </c>
      <c r="E39" s="184">
        <v>451917.51799999998</v>
      </c>
      <c r="F39" s="184">
        <v>433578.864</v>
      </c>
    </row>
    <row r="40" spans="1:6" x14ac:dyDescent="0.3">
      <c r="A40" s="220" t="s">
        <v>237</v>
      </c>
      <c r="B40" s="184">
        <v>0</v>
      </c>
      <c r="C40" s="184">
        <v>0</v>
      </c>
      <c r="D40" s="184">
        <v>0</v>
      </c>
      <c r="E40" s="184">
        <v>0</v>
      </c>
      <c r="F40" s="184">
        <v>0</v>
      </c>
    </row>
    <row r="41" spans="1:6" x14ac:dyDescent="0.3">
      <c r="A41" s="220" t="s">
        <v>238</v>
      </c>
      <c r="B41" s="184">
        <v>734706.89099999995</v>
      </c>
      <c r="C41" s="184">
        <v>839788.26100000006</v>
      </c>
      <c r="D41" s="184">
        <v>960749.95499999996</v>
      </c>
      <c r="E41" s="184">
        <v>1145066.25</v>
      </c>
      <c r="F41" s="184">
        <v>1270359.0179999999</v>
      </c>
    </row>
    <row r="42" spans="1:6" x14ac:dyDescent="0.3">
      <c r="A42" s="220" t="s">
        <v>239</v>
      </c>
      <c r="B42" s="184">
        <v>61597.154000000002</v>
      </c>
      <c r="C42" s="184">
        <v>66893.804000000004</v>
      </c>
      <c r="D42" s="184">
        <v>60146.527000000002</v>
      </c>
      <c r="E42" s="184">
        <v>63930.38</v>
      </c>
      <c r="F42" s="184">
        <v>80144.585000000006</v>
      </c>
    </row>
    <row r="43" spans="1:6" x14ac:dyDescent="0.3">
      <c r="A43" s="220" t="s">
        <v>240</v>
      </c>
      <c r="B43" s="184">
        <v>139575.48699999999</v>
      </c>
      <c r="C43" s="184">
        <v>155046.85200000001</v>
      </c>
      <c r="D43" s="184">
        <v>169542.08600000001</v>
      </c>
      <c r="E43" s="184">
        <v>203088.337</v>
      </c>
      <c r="F43" s="184">
        <v>207339.02</v>
      </c>
    </row>
    <row r="44" spans="1:6" x14ac:dyDescent="0.3">
      <c r="A44" s="220" t="s">
        <v>241</v>
      </c>
      <c r="B44" s="184">
        <v>139575.48699999999</v>
      </c>
      <c r="C44" s="184">
        <v>155046.85200000001</v>
      </c>
      <c r="D44" s="184">
        <v>169542.08600000001</v>
      </c>
      <c r="E44" s="184">
        <v>203088.337</v>
      </c>
      <c r="F44" s="184">
        <v>207339.02</v>
      </c>
    </row>
    <row r="45" spans="1:6" x14ac:dyDescent="0.3">
      <c r="A45" s="220" t="s">
        <v>242</v>
      </c>
      <c r="B45" s="184">
        <v>0</v>
      </c>
      <c r="C45" s="184">
        <v>0</v>
      </c>
      <c r="D45" s="184">
        <v>0</v>
      </c>
      <c r="E45" s="184">
        <v>0</v>
      </c>
      <c r="F45" s="184">
        <v>0</v>
      </c>
    </row>
    <row r="46" spans="1:6" x14ac:dyDescent="0.3">
      <c r="A46" s="220" t="s">
        <v>243</v>
      </c>
      <c r="B46" s="184">
        <v>0</v>
      </c>
      <c r="C46" s="184">
        <v>0</v>
      </c>
      <c r="D46" s="184">
        <v>0</v>
      </c>
      <c r="E46" s="184">
        <v>0</v>
      </c>
      <c r="F46" s="184">
        <v>0</v>
      </c>
    </row>
    <row r="47" spans="1:6" x14ac:dyDescent="0.3">
      <c r="A47" s="220" t="s">
        <v>244</v>
      </c>
      <c r="B47" s="184">
        <v>0</v>
      </c>
      <c r="C47" s="184">
        <v>0</v>
      </c>
      <c r="D47" s="184">
        <v>0</v>
      </c>
      <c r="E47" s="184">
        <v>0</v>
      </c>
      <c r="F47" s="184">
        <v>0</v>
      </c>
    </row>
    <row r="48" spans="1:6" x14ac:dyDescent="0.3">
      <c r="A48" s="220" t="s">
        <v>245</v>
      </c>
      <c r="B48" s="184">
        <v>43644.728999999999</v>
      </c>
      <c r="C48" s="184">
        <v>52121.843999999997</v>
      </c>
      <c r="D48" s="184">
        <v>66611.876000000004</v>
      </c>
      <c r="E48" s="184">
        <v>85943.755000000005</v>
      </c>
      <c r="F48" s="184">
        <v>109476.02099999999</v>
      </c>
    </row>
    <row r="49" spans="1:6" x14ac:dyDescent="0.3">
      <c r="A49" s="220" t="s">
        <v>246</v>
      </c>
      <c r="B49" s="184">
        <v>315781.58</v>
      </c>
      <c r="C49" s="184">
        <v>380751.58399999997</v>
      </c>
      <c r="D49" s="184">
        <v>448102.94500000001</v>
      </c>
      <c r="E49" s="184">
        <v>540349.77599999995</v>
      </c>
      <c r="F49" s="184">
        <v>566326.18900000001</v>
      </c>
    </row>
    <row r="50" spans="1:6" x14ac:dyDescent="0.3">
      <c r="A50" s="220" t="s">
        <v>247</v>
      </c>
      <c r="B50" s="184">
        <v>2268.308</v>
      </c>
      <c r="C50" s="184">
        <v>2653.308</v>
      </c>
      <c r="D50" s="184">
        <v>2819.9749999999999</v>
      </c>
      <c r="E50" s="184">
        <v>2289.2939999999999</v>
      </c>
      <c r="F50" s="184">
        <v>1212.1849999999999</v>
      </c>
    </row>
    <row r="51" spans="1:6" x14ac:dyDescent="0.3">
      <c r="A51" s="220" t="s">
        <v>248</v>
      </c>
      <c r="B51" s="184">
        <v>0</v>
      </c>
      <c r="C51" s="184">
        <v>0</v>
      </c>
      <c r="D51" s="184">
        <v>0</v>
      </c>
      <c r="E51" s="184">
        <v>0</v>
      </c>
      <c r="F51" s="184">
        <v>0</v>
      </c>
    </row>
    <row r="52" spans="1:6" x14ac:dyDescent="0.3">
      <c r="A52" s="220" t="s">
        <v>249</v>
      </c>
      <c r="B52" s="184">
        <v>0</v>
      </c>
      <c r="C52" s="184">
        <v>0</v>
      </c>
      <c r="D52" s="184">
        <v>0</v>
      </c>
      <c r="E52" s="184">
        <v>0</v>
      </c>
      <c r="F52" s="184">
        <v>0</v>
      </c>
    </row>
    <row r="53" spans="1:6" x14ac:dyDescent="0.3">
      <c r="A53" s="220" t="s">
        <v>250</v>
      </c>
      <c r="B53" s="184">
        <v>0</v>
      </c>
      <c r="C53" s="184">
        <v>0</v>
      </c>
      <c r="D53" s="184">
        <v>0</v>
      </c>
      <c r="E53" s="184">
        <v>0</v>
      </c>
      <c r="F53" s="184">
        <v>0</v>
      </c>
    </row>
    <row r="54" spans="1:6" x14ac:dyDescent="0.3">
      <c r="A54" s="220" t="s">
        <v>251</v>
      </c>
      <c r="B54" s="184">
        <v>171839.633</v>
      </c>
      <c r="C54" s="184">
        <v>182320.86900000001</v>
      </c>
      <c r="D54" s="184">
        <v>213526.546</v>
      </c>
      <c r="E54" s="184">
        <v>249464.70800000001</v>
      </c>
      <c r="F54" s="184">
        <v>305861.01799999998</v>
      </c>
    </row>
    <row r="55" spans="1:6" x14ac:dyDescent="0.3">
      <c r="A55" s="220" t="s">
        <v>252</v>
      </c>
      <c r="B55" s="184">
        <v>734706.89099999995</v>
      </c>
      <c r="C55" s="184">
        <v>839788.26100000006</v>
      </c>
      <c r="D55" s="184">
        <v>960749.95499999996</v>
      </c>
      <c r="E55" s="184">
        <v>1145066.25</v>
      </c>
      <c r="F55" s="184">
        <v>1270359.0179999999</v>
      </c>
    </row>
    <row r="56" spans="1:6" x14ac:dyDescent="0.3">
      <c r="A56" s="220" t="s">
        <v>253</v>
      </c>
      <c r="B56" s="184">
        <v>174032.67</v>
      </c>
      <c r="C56" s="184">
        <v>178521.41099999999</v>
      </c>
      <c r="D56" s="184">
        <v>203057.429</v>
      </c>
      <c r="E56" s="184">
        <v>243683.44699999999</v>
      </c>
      <c r="F56" s="184">
        <v>280386.14799999999</v>
      </c>
    </row>
    <row r="57" spans="1:6" x14ac:dyDescent="0.3">
      <c r="A57" s="220" t="s">
        <v>254</v>
      </c>
      <c r="B57" s="184">
        <v>30411.521000000001</v>
      </c>
      <c r="C57" s="184">
        <v>40333.440999999999</v>
      </c>
      <c r="D57" s="184">
        <v>59813.455999999998</v>
      </c>
      <c r="E57" s="184">
        <v>58615.95</v>
      </c>
      <c r="F57" s="184">
        <v>54975.004000000001</v>
      </c>
    </row>
    <row r="58" spans="1:6" x14ac:dyDescent="0.3">
      <c r="A58" s="220" t="s">
        <v>255</v>
      </c>
      <c r="B58" s="184">
        <v>32357.572</v>
      </c>
      <c r="C58" s="184">
        <v>71273.524999999994</v>
      </c>
      <c r="D58" s="184">
        <v>86628.721999999994</v>
      </c>
      <c r="E58" s="184">
        <v>75113.941999999995</v>
      </c>
      <c r="F58" s="184">
        <v>81091.024000000005</v>
      </c>
    </row>
    <row r="59" spans="1:6" x14ac:dyDescent="0.3">
      <c r="A59" s="220" t="s">
        <v>256</v>
      </c>
      <c r="B59" s="184">
        <v>24742.603999999999</v>
      </c>
      <c r="C59" s="184">
        <v>26843.614000000001</v>
      </c>
      <c r="D59" s="184">
        <v>28715.341</v>
      </c>
      <c r="E59" s="184">
        <v>31585.532999999999</v>
      </c>
      <c r="F59" s="184">
        <v>33448.171000000002</v>
      </c>
    </row>
    <row r="60" spans="1:6" x14ac:dyDescent="0.3">
      <c r="A60" s="220" t="s">
        <v>257</v>
      </c>
      <c r="B60" s="184">
        <v>0</v>
      </c>
      <c r="C60" s="184">
        <v>0</v>
      </c>
      <c r="D60" s="184">
        <v>0</v>
      </c>
      <c r="E60" s="184">
        <v>31585.532999999999</v>
      </c>
      <c r="F60" s="184">
        <v>33448.171000000002</v>
      </c>
    </row>
    <row r="61" spans="1:6" x14ac:dyDescent="0.3">
      <c r="A61" s="220" t="s">
        <v>258</v>
      </c>
      <c r="B61" s="184">
        <v>0</v>
      </c>
      <c r="C61" s="184">
        <v>0</v>
      </c>
      <c r="D61" s="184">
        <v>0</v>
      </c>
      <c r="E61" s="184">
        <v>0</v>
      </c>
      <c r="F61" s="184">
        <v>0</v>
      </c>
    </row>
    <row r="62" spans="1:6" x14ac:dyDescent="0.3">
      <c r="A62" s="220" t="s">
        <v>259</v>
      </c>
      <c r="B62" s="184">
        <v>14458.842000000001</v>
      </c>
      <c r="C62" s="184">
        <v>14591.656000000001</v>
      </c>
      <c r="D62" s="184">
        <v>15084.112999999999</v>
      </c>
      <c r="E62" s="184">
        <v>19084.010999999999</v>
      </c>
      <c r="F62" s="184">
        <v>20413.414000000001</v>
      </c>
    </row>
    <row r="63" spans="1:6" x14ac:dyDescent="0.3">
      <c r="A63" s="220" t="s">
        <v>260</v>
      </c>
      <c r="B63" s="184">
        <v>16122.626</v>
      </c>
      <c r="C63" s="184">
        <v>17069.197</v>
      </c>
      <c r="D63" s="184">
        <v>25096.241999999998</v>
      </c>
      <c r="E63" s="184">
        <v>36100.728999999999</v>
      </c>
      <c r="F63" s="184">
        <v>38732.65</v>
      </c>
    </row>
    <row r="64" spans="1:6" x14ac:dyDescent="0.3">
      <c r="A64" s="220" t="s">
        <v>261</v>
      </c>
      <c r="B64" s="184">
        <v>12837.989</v>
      </c>
      <c r="C64" s="184">
        <v>10166.471</v>
      </c>
      <c r="D64" s="184">
        <v>16921.725999999999</v>
      </c>
      <c r="E64" s="184">
        <v>18278.882000000001</v>
      </c>
      <c r="F64" s="184">
        <v>19622.16</v>
      </c>
    </row>
    <row r="65" spans="1:6" x14ac:dyDescent="0.3">
      <c r="A65" s="220" t="s">
        <v>262</v>
      </c>
      <c r="B65" s="184">
        <v>0</v>
      </c>
      <c r="C65" s="184">
        <v>0</v>
      </c>
      <c r="D65" s="184">
        <v>0</v>
      </c>
      <c r="E65" s="184">
        <v>0</v>
      </c>
      <c r="F65" s="184">
        <v>0</v>
      </c>
    </row>
    <row r="66" spans="1:6" x14ac:dyDescent="0.3">
      <c r="A66" s="220" t="s">
        <v>263</v>
      </c>
      <c r="B66" s="184">
        <v>0</v>
      </c>
      <c r="C66" s="184">
        <v>0</v>
      </c>
      <c r="D66" s="184">
        <v>0</v>
      </c>
      <c r="E66" s="184">
        <v>0</v>
      </c>
      <c r="F66" s="184">
        <v>0</v>
      </c>
    </row>
    <row r="67" spans="1:6" x14ac:dyDescent="0.3">
      <c r="A67" s="220" t="s">
        <v>264</v>
      </c>
      <c r="B67" s="184">
        <v>0</v>
      </c>
      <c r="C67" s="184">
        <v>0</v>
      </c>
      <c r="D67" s="184">
        <v>0</v>
      </c>
      <c r="E67" s="184">
        <v>0</v>
      </c>
      <c r="F67" s="184">
        <v>0</v>
      </c>
    </row>
    <row r="68" spans="1:6" x14ac:dyDescent="0.3">
      <c r="A68" s="220" t="s">
        <v>265</v>
      </c>
      <c r="B68" s="184">
        <v>0</v>
      </c>
      <c r="C68" s="184">
        <v>0</v>
      </c>
      <c r="D68" s="184">
        <v>0</v>
      </c>
      <c r="E68" s="184">
        <v>0</v>
      </c>
      <c r="F68" s="184">
        <v>0</v>
      </c>
    </row>
    <row r="69" spans="1:6" x14ac:dyDescent="0.3">
      <c r="A69" s="220" t="s">
        <v>266</v>
      </c>
      <c r="B69" s="184">
        <v>0</v>
      </c>
      <c r="C69" s="184">
        <v>0</v>
      </c>
      <c r="D69" s="184">
        <v>0</v>
      </c>
      <c r="E69" s="184">
        <v>0</v>
      </c>
      <c r="F69" s="184">
        <v>0</v>
      </c>
    </row>
    <row r="70" spans="1:6" x14ac:dyDescent="0.3">
      <c r="A70" s="220" t="s">
        <v>267</v>
      </c>
      <c r="B70" s="184">
        <v>0</v>
      </c>
      <c r="C70" s="184">
        <v>0</v>
      </c>
      <c r="D70" s="184">
        <v>0</v>
      </c>
      <c r="E70" s="184">
        <v>0</v>
      </c>
      <c r="F70" s="184">
        <v>0</v>
      </c>
    </row>
    <row r="71" spans="1:6" x14ac:dyDescent="0.3">
      <c r="A71" s="220" t="s">
        <v>268</v>
      </c>
      <c r="B71" s="184">
        <v>0</v>
      </c>
      <c r="C71" s="184">
        <v>0</v>
      </c>
      <c r="D71" s="184">
        <v>0</v>
      </c>
      <c r="E71" s="184">
        <v>0</v>
      </c>
      <c r="F71" s="184">
        <v>0</v>
      </c>
    </row>
    <row r="72" spans="1:6" x14ac:dyDescent="0.3">
      <c r="A72" s="220" t="s">
        <v>269</v>
      </c>
      <c r="B72" s="184">
        <v>0</v>
      </c>
      <c r="C72" s="184">
        <v>0</v>
      </c>
      <c r="D72" s="184">
        <v>0</v>
      </c>
      <c r="E72" s="184">
        <v>0</v>
      </c>
      <c r="F72" s="184">
        <v>0</v>
      </c>
    </row>
    <row r="73" spans="1:6" x14ac:dyDescent="0.3">
      <c r="A73" s="220" t="s">
        <v>270</v>
      </c>
      <c r="B73" s="184">
        <v>131856.58300000001</v>
      </c>
      <c r="C73" s="184">
        <v>202773.035</v>
      </c>
      <c r="D73" s="184">
        <v>152212.435</v>
      </c>
      <c r="E73" s="184">
        <v>184463.459</v>
      </c>
      <c r="F73" s="184">
        <v>204168.323</v>
      </c>
    </row>
    <row r="74" spans="1:6" x14ac:dyDescent="0.3">
      <c r="A74" s="220" t="s">
        <v>271</v>
      </c>
      <c r="B74" s="184">
        <v>0</v>
      </c>
      <c r="C74" s="184">
        <v>0</v>
      </c>
      <c r="D74" s="184">
        <v>0</v>
      </c>
      <c r="E74" s="184">
        <v>0</v>
      </c>
      <c r="F74" s="184">
        <v>0</v>
      </c>
    </row>
    <row r="75" spans="1:6" x14ac:dyDescent="0.3">
      <c r="A75" s="220" t="s">
        <v>272</v>
      </c>
      <c r="B75" s="184">
        <v>0</v>
      </c>
      <c r="C75" s="184">
        <v>0</v>
      </c>
      <c r="D75" s="184">
        <v>0</v>
      </c>
      <c r="E75" s="184">
        <v>0</v>
      </c>
      <c r="F75" s="184">
        <v>0</v>
      </c>
    </row>
    <row r="76" spans="1:6" x14ac:dyDescent="0.3">
      <c r="A76" s="220" t="s">
        <v>273</v>
      </c>
      <c r="B76" s="184">
        <v>0</v>
      </c>
      <c r="C76" s="184">
        <v>0</v>
      </c>
      <c r="D76" s="184">
        <v>0</v>
      </c>
      <c r="E76" s="184">
        <v>0</v>
      </c>
      <c r="F76" s="184">
        <v>0</v>
      </c>
    </row>
    <row r="77" spans="1:6" x14ac:dyDescent="0.3">
      <c r="A77" s="220" t="s">
        <v>274</v>
      </c>
      <c r="B77" s="184">
        <v>0</v>
      </c>
      <c r="C77" s="184">
        <v>0</v>
      </c>
      <c r="D77" s="184">
        <v>0</v>
      </c>
      <c r="E77" s="184">
        <v>0</v>
      </c>
      <c r="F77" s="184">
        <v>0</v>
      </c>
    </row>
    <row r="78" spans="1:6" x14ac:dyDescent="0.3">
      <c r="A78" s="220" t="s">
        <v>275</v>
      </c>
      <c r="B78" s="184">
        <v>0</v>
      </c>
      <c r="C78" s="184">
        <v>0</v>
      </c>
      <c r="D78" s="184">
        <v>0</v>
      </c>
      <c r="E78" s="184">
        <v>0</v>
      </c>
      <c r="F78" s="184">
        <v>0</v>
      </c>
    </row>
    <row r="79" spans="1:6" x14ac:dyDescent="0.3">
      <c r="A79" s="220" t="s">
        <v>276</v>
      </c>
      <c r="B79" s="184">
        <v>0</v>
      </c>
      <c r="C79" s="184">
        <v>0</v>
      </c>
      <c r="D79" s="184">
        <v>0</v>
      </c>
      <c r="E79" s="184">
        <v>0</v>
      </c>
      <c r="F79" s="184">
        <v>0</v>
      </c>
    </row>
    <row r="80" spans="1:6" x14ac:dyDescent="0.3">
      <c r="A80" s="220" t="s">
        <v>277</v>
      </c>
      <c r="B80" s="184">
        <v>297886.484</v>
      </c>
      <c r="C80" s="184">
        <v>278215.91100000002</v>
      </c>
      <c r="D80" s="184">
        <v>373220.49099999998</v>
      </c>
      <c r="E80" s="184">
        <v>478140.29700000002</v>
      </c>
      <c r="F80" s="184">
        <v>537522.12399999995</v>
      </c>
    </row>
    <row r="81" spans="1:6" x14ac:dyDescent="0.3">
      <c r="A81" s="220" t="s">
        <v>278</v>
      </c>
      <c r="B81" s="184">
        <v>10416.789000000001</v>
      </c>
      <c r="C81" s="184">
        <v>19242.794000000002</v>
      </c>
      <c r="D81" s="184">
        <v>25975.668000000001</v>
      </c>
      <c r="E81" s="184">
        <v>24779.418000000001</v>
      </c>
      <c r="F81" s="184">
        <v>28683.685000000001</v>
      </c>
    </row>
    <row r="82" spans="1:6" x14ac:dyDescent="0.3">
      <c r="A82" s="220" t="s">
        <v>279</v>
      </c>
      <c r="B82" s="184">
        <v>5282.3280000000004</v>
      </c>
      <c r="C82" s="184">
        <v>5895.5789999999997</v>
      </c>
      <c r="D82" s="184">
        <v>7113.4870000000001</v>
      </c>
      <c r="E82" s="184">
        <v>8468.7710000000006</v>
      </c>
      <c r="F82" s="184">
        <v>9370.0300000000007</v>
      </c>
    </row>
    <row r="83" spans="1:6" x14ac:dyDescent="0.3">
      <c r="A83" s="220" t="s">
        <v>280</v>
      </c>
      <c r="B83" s="184">
        <v>5134.4610000000002</v>
      </c>
      <c r="C83" s="184">
        <v>13347.215</v>
      </c>
      <c r="D83" s="184">
        <v>18862.181</v>
      </c>
      <c r="E83" s="184">
        <v>16310.647000000001</v>
      </c>
      <c r="F83" s="184">
        <v>19313.654999999999</v>
      </c>
    </row>
    <row r="84" spans="1:6" x14ac:dyDescent="0.3">
      <c r="A84" s="220" t="s">
        <v>281</v>
      </c>
      <c r="B84" s="184">
        <v>0</v>
      </c>
      <c r="C84" s="184">
        <v>0</v>
      </c>
      <c r="D84" s="184">
        <v>0</v>
      </c>
      <c r="E84" s="184">
        <v>0</v>
      </c>
      <c r="F84" s="184">
        <v>0</v>
      </c>
    </row>
    <row r="85" spans="1:6" x14ac:dyDescent="0.3">
      <c r="A85" s="220" t="s">
        <v>282</v>
      </c>
      <c r="B85" s="184">
        <v>35574.786</v>
      </c>
      <c r="C85" s="184">
        <v>41955.076000000001</v>
      </c>
      <c r="D85" s="184">
        <v>71035.828999999998</v>
      </c>
      <c r="E85" s="184">
        <v>100739.67</v>
      </c>
      <c r="F85" s="184">
        <v>67882.48</v>
      </c>
    </row>
    <row r="86" spans="1:6" x14ac:dyDescent="0.3">
      <c r="A86" s="220" t="s">
        <v>203</v>
      </c>
      <c r="B86" s="184">
        <v>35690.9</v>
      </c>
      <c r="C86" s="184">
        <v>42140.641000000003</v>
      </c>
      <c r="D86" s="184">
        <v>71114.312000000005</v>
      </c>
      <c r="E86" s="184">
        <v>100739.67</v>
      </c>
      <c r="F86" s="184">
        <v>67882.48</v>
      </c>
    </row>
    <row r="87" spans="1:6" x14ac:dyDescent="0.3">
      <c r="A87" s="220" t="s">
        <v>204</v>
      </c>
      <c r="B87" s="184">
        <v>17444.329000000002</v>
      </c>
      <c r="C87" s="184">
        <v>9444.4220000000005</v>
      </c>
      <c r="D87" s="184">
        <v>30327.312000000002</v>
      </c>
      <c r="E87" s="184">
        <v>63780.447999999997</v>
      </c>
      <c r="F87" s="184">
        <v>38785.480000000003</v>
      </c>
    </row>
    <row r="88" spans="1:6" x14ac:dyDescent="0.3">
      <c r="A88" s="220" t="s">
        <v>205</v>
      </c>
      <c r="B88" s="184">
        <v>18246.571</v>
      </c>
      <c r="C88" s="184">
        <v>32696.219000000001</v>
      </c>
      <c r="D88" s="184">
        <v>40687</v>
      </c>
      <c r="E88" s="184">
        <v>36887</v>
      </c>
      <c r="F88" s="184">
        <v>29097</v>
      </c>
    </row>
    <row r="89" spans="1:6" x14ac:dyDescent="0.3">
      <c r="A89" s="220" t="s">
        <v>206</v>
      </c>
      <c r="B89" s="184">
        <v>0</v>
      </c>
      <c r="C89" s="184">
        <v>0</v>
      </c>
      <c r="D89" s="184">
        <v>100</v>
      </c>
      <c r="E89" s="184">
        <v>72.221999999999994</v>
      </c>
      <c r="F89" s="184">
        <v>0</v>
      </c>
    </row>
    <row r="90" spans="1:6" x14ac:dyDescent="0.3">
      <c r="A90" s="220" t="s">
        <v>207</v>
      </c>
      <c r="B90" s="184">
        <v>0</v>
      </c>
      <c r="C90" s="184">
        <v>0</v>
      </c>
      <c r="D90" s="184">
        <v>0</v>
      </c>
      <c r="E90" s="184">
        <v>0</v>
      </c>
      <c r="F90" s="184">
        <v>0</v>
      </c>
    </row>
    <row r="91" spans="1:6" x14ac:dyDescent="0.3">
      <c r="A91" s="220" t="s">
        <v>208</v>
      </c>
      <c r="B91" s="184">
        <v>8.19</v>
      </c>
      <c r="C91" s="184">
        <v>8.19</v>
      </c>
      <c r="D91" s="184">
        <v>8.19</v>
      </c>
      <c r="E91" s="184">
        <v>0</v>
      </c>
      <c r="F91" s="184">
        <v>0</v>
      </c>
    </row>
    <row r="92" spans="1:6" x14ac:dyDescent="0.3">
      <c r="A92" s="220" t="s">
        <v>209</v>
      </c>
      <c r="B92" s="184">
        <v>0</v>
      </c>
      <c r="C92" s="184">
        <v>0</v>
      </c>
      <c r="D92" s="184">
        <v>0</v>
      </c>
      <c r="E92" s="184">
        <v>0</v>
      </c>
      <c r="F92" s="184">
        <v>0</v>
      </c>
    </row>
    <row r="93" spans="1:6" x14ac:dyDescent="0.3">
      <c r="A93" s="220" t="s">
        <v>210</v>
      </c>
      <c r="B93" s="184">
        <v>8.19</v>
      </c>
      <c r="C93" s="184">
        <v>8.19</v>
      </c>
      <c r="D93" s="184">
        <v>8.19</v>
      </c>
      <c r="E93" s="184">
        <v>0</v>
      </c>
      <c r="F93" s="184">
        <v>0</v>
      </c>
    </row>
    <row r="94" spans="1:6" x14ac:dyDescent="0.3">
      <c r="A94" s="220" t="s">
        <v>212</v>
      </c>
      <c r="B94" s="184">
        <v>0</v>
      </c>
      <c r="C94" s="184">
        <v>0</v>
      </c>
      <c r="D94" s="184">
        <v>0</v>
      </c>
      <c r="E94" s="184">
        <v>0</v>
      </c>
      <c r="F94" s="184">
        <v>0</v>
      </c>
    </row>
    <row r="95" spans="1:6" x14ac:dyDescent="0.3">
      <c r="A95" s="220" t="s">
        <v>283</v>
      </c>
      <c r="B95" s="184">
        <v>-124.304</v>
      </c>
      <c r="C95" s="184">
        <v>-193.755</v>
      </c>
      <c r="D95" s="184">
        <v>-86.673000000000002</v>
      </c>
      <c r="E95" s="184">
        <v>0</v>
      </c>
      <c r="F95" s="184">
        <v>0</v>
      </c>
    </row>
    <row r="96" spans="1:6" x14ac:dyDescent="0.3">
      <c r="A96" s="220" t="s">
        <v>284</v>
      </c>
      <c r="B96" s="184">
        <v>131954.90299999999</v>
      </c>
      <c r="C96" s="184">
        <v>114976.02099999999</v>
      </c>
      <c r="D96" s="184">
        <v>99568.870999999999</v>
      </c>
      <c r="E96" s="184">
        <v>95431.543000000005</v>
      </c>
      <c r="F96" s="184">
        <v>77897.587</v>
      </c>
    </row>
    <row r="97" spans="1:6" x14ac:dyDescent="0.3">
      <c r="A97" s="220" t="s">
        <v>203</v>
      </c>
      <c r="B97" s="184">
        <v>132271.302</v>
      </c>
      <c r="C97" s="184">
        <v>115382.54399999999</v>
      </c>
      <c r="D97" s="184">
        <v>99657.595000000001</v>
      </c>
      <c r="E97" s="184">
        <v>95513.376000000004</v>
      </c>
      <c r="F97" s="184">
        <v>77897.587</v>
      </c>
    </row>
    <row r="98" spans="1:6" x14ac:dyDescent="0.3">
      <c r="A98" s="220" t="s">
        <v>204</v>
      </c>
      <c r="B98" s="184">
        <v>82997.994999999995</v>
      </c>
      <c r="C98" s="184">
        <v>59001.447999999997</v>
      </c>
      <c r="D98" s="184">
        <v>40325.603000000003</v>
      </c>
      <c r="E98" s="184">
        <v>37915.262000000002</v>
      </c>
      <c r="F98" s="184">
        <v>43724.245999999999</v>
      </c>
    </row>
    <row r="99" spans="1:6" x14ac:dyDescent="0.3">
      <c r="A99" s="220" t="s">
        <v>205</v>
      </c>
      <c r="B99" s="184">
        <v>42593.538</v>
      </c>
      <c r="C99" s="184">
        <v>51041.343999999997</v>
      </c>
      <c r="D99" s="184">
        <v>47502.241000000002</v>
      </c>
      <c r="E99" s="184">
        <v>46589</v>
      </c>
      <c r="F99" s="184">
        <v>24098</v>
      </c>
    </row>
    <row r="100" spans="1:6" x14ac:dyDescent="0.3">
      <c r="A100" s="220" t="s">
        <v>206</v>
      </c>
      <c r="B100" s="184">
        <v>6679.7690000000002</v>
      </c>
      <c r="C100" s="184">
        <v>5339.7520000000004</v>
      </c>
      <c r="D100" s="184">
        <v>11829.751</v>
      </c>
      <c r="E100" s="184">
        <v>11009.114</v>
      </c>
      <c r="F100" s="184">
        <v>10187.501</v>
      </c>
    </row>
    <row r="101" spans="1:6" x14ac:dyDescent="0.3">
      <c r="A101" s="220" t="s">
        <v>207</v>
      </c>
      <c r="B101" s="184">
        <v>0</v>
      </c>
      <c r="C101" s="184">
        <v>0</v>
      </c>
      <c r="D101" s="184">
        <v>0</v>
      </c>
      <c r="E101" s="184">
        <v>0</v>
      </c>
      <c r="F101" s="184">
        <v>0</v>
      </c>
    </row>
    <row r="102" spans="1:6" x14ac:dyDescent="0.3">
      <c r="A102" s="220" t="s">
        <v>285</v>
      </c>
      <c r="B102" s="184">
        <v>-316.399</v>
      </c>
      <c r="C102" s="184">
        <v>-406.52300000000002</v>
      </c>
      <c r="D102" s="184">
        <v>-88.724000000000004</v>
      </c>
      <c r="E102" s="184">
        <v>-81.832999999999998</v>
      </c>
      <c r="F102" s="184">
        <v>-112.16</v>
      </c>
    </row>
    <row r="103" spans="1:6" x14ac:dyDescent="0.3">
      <c r="A103" s="220" t="s">
        <v>286</v>
      </c>
      <c r="B103" s="184">
        <v>0</v>
      </c>
      <c r="C103" s="184">
        <v>0</v>
      </c>
      <c r="D103" s="184">
        <v>0</v>
      </c>
      <c r="E103" s="184">
        <v>0</v>
      </c>
      <c r="F103" s="184">
        <v>0</v>
      </c>
    </row>
    <row r="104" spans="1:6" x14ac:dyDescent="0.3">
      <c r="A104" s="220" t="s">
        <v>287</v>
      </c>
      <c r="B104" s="184">
        <v>0</v>
      </c>
      <c r="C104" s="184">
        <v>0</v>
      </c>
      <c r="D104" s="184">
        <v>0</v>
      </c>
      <c r="E104" s="184">
        <v>0</v>
      </c>
      <c r="F104" s="184">
        <v>0</v>
      </c>
    </row>
    <row r="105" spans="1:6" x14ac:dyDescent="0.3">
      <c r="A105" s="220" t="s">
        <v>288</v>
      </c>
      <c r="B105" s="184">
        <v>0</v>
      </c>
      <c r="C105" s="184">
        <v>0</v>
      </c>
      <c r="D105" s="184">
        <v>0</v>
      </c>
      <c r="E105" s="184">
        <v>0</v>
      </c>
      <c r="F105" s="184">
        <v>0</v>
      </c>
    </row>
    <row r="106" spans="1:6" x14ac:dyDescent="0.3">
      <c r="A106" s="220" t="s">
        <v>289</v>
      </c>
      <c r="B106" s="184" t="e">
        <v>#VALUE!</v>
      </c>
      <c r="C106" s="184">
        <v>41176.995000000003</v>
      </c>
      <c r="D106" s="184">
        <v>9468.116</v>
      </c>
      <c r="E106" s="184">
        <v>67314.816000000006</v>
      </c>
      <c r="F106" s="184">
        <v>1670.837</v>
      </c>
    </row>
    <row r="107" spans="1:6" x14ac:dyDescent="0.3">
      <c r="A107" s="220" t="s">
        <v>290</v>
      </c>
      <c r="B107" s="184" t="e">
        <v>#VALUE!</v>
      </c>
      <c r="C107" s="184">
        <v>2347.2939999999999</v>
      </c>
      <c r="D107" s="184">
        <v>1749.5840000000001</v>
      </c>
      <c r="E107" s="184">
        <v>1253.828</v>
      </c>
      <c r="F107" s="184">
        <v>900.95600000000002</v>
      </c>
    </row>
    <row r="108" spans="1:6" x14ac:dyDescent="0.3">
      <c r="A108" s="220" t="s">
        <v>291</v>
      </c>
      <c r="B108" s="184" t="e">
        <v>#VALUE!</v>
      </c>
      <c r="C108" s="184">
        <v>1800.5630000000001</v>
      </c>
      <c r="D108" s="184">
        <v>1415.7149999999999</v>
      </c>
      <c r="E108" s="184">
        <v>1055.777</v>
      </c>
      <c r="F108" s="184">
        <v>790.84</v>
      </c>
    </row>
    <row r="109" spans="1:6" x14ac:dyDescent="0.3">
      <c r="A109" s="220" t="s">
        <v>292</v>
      </c>
      <c r="B109" s="184" t="e">
        <v>#VALUE!</v>
      </c>
      <c r="C109" s="184">
        <v>546.73099999999999</v>
      </c>
      <c r="D109" s="184">
        <v>333.86900000000003</v>
      </c>
      <c r="E109" s="184">
        <v>198.05099999999999</v>
      </c>
      <c r="F109" s="184">
        <v>110.116</v>
      </c>
    </row>
    <row r="110" spans="1:6" x14ac:dyDescent="0.3">
      <c r="A110" s="220" t="s">
        <v>293</v>
      </c>
      <c r="B110" s="184" t="e">
        <v>#VALUE!</v>
      </c>
      <c r="C110" s="184">
        <v>36393.923000000003</v>
      </c>
      <c r="D110" s="184">
        <v>7694.2740000000003</v>
      </c>
      <c r="E110" s="184">
        <v>49548.1</v>
      </c>
      <c r="F110" s="184">
        <v>769.88099999999997</v>
      </c>
    </row>
    <row r="111" spans="1:6" x14ac:dyDescent="0.3">
      <c r="A111" s="220" t="s">
        <v>294</v>
      </c>
      <c r="B111" s="184" t="e">
        <v>#VALUE!</v>
      </c>
      <c r="C111" s="184">
        <v>976.92299999900001</v>
      </c>
      <c r="D111" s="184">
        <v>694.274</v>
      </c>
      <c r="E111" s="184">
        <v>827.1</v>
      </c>
      <c r="F111" s="184">
        <v>769.88099999999997</v>
      </c>
    </row>
    <row r="112" spans="1:6" x14ac:dyDescent="0.3">
      <c r="A112" s="220" t="s">
        <v>295</v>
      </c>
      <c r="B112" s="184" t="e">
        <v>#VALUE!</v>
      </c>
      <c r="C112" s="184">
        <v>35417.000000000997</v>
      </c>
      <c r="D112" s="184">
        <v>7000</v>
      </c>
      <c r="E112" s="184">
        <v>48721</v>
      </c>
      <c r="F112" s="184">
        <v>0</v>
      </c>
    </row>
    <row r="113" spans="1:6" x14ac:dyDescent="0.3">
      <c r="A113" s="220" t="s">
        <v>296</v>
      </c>
      <c r="B113" s="184" t="e">
        <v>#VALUE!</v>
      </c>
      <c r="C113" s="184">
        <v>2435.7779999999998</v>
      </c>
      <c r="D113" s="184">
        <v>24.257999999999999</v>
      </c>
      <c r="E113" s="184">
        <v>16512.887999999999</v>
      </c>
      <c r="F113" s="184">
        <v>0</v>
      </c>
    </row>
    <row r="114" spans="1:6" x14ac:dyDescent="0.3">
      <c r="A114" s="220" t="s">
        <v>297</v>
      </c>
      <c r="B114" s="184">
        <v>928450.86899999995</v>
      </c>
      <c r="C114" s="184">
        <v>1032113.567</v>
      </c>
      <c r="D114" s="184">
        <v>1135323.9129999999</v>
      </c>
      <c r="E114" s="184">
        <v>1243468.4709999999</v>
      </c>
      <c r="F114" s="184">
        <v>1395697.611</v>
      </c>
    </row>
    <row r="115" spans="1:6" x14ac:dyDescent="0.3">
      <c r="A115" s="220" t="s">
        <v>298</v>
      </c>
      <c r="B115" s="184">
        <v>262977.12400000001</v>
      </c>
      <c r="C115" s="184">
        <v>307026.18199999997</v>
      </c>
      <c r="D115" s="184">
        <v>367149.08299999998</v>
      </c>
      <c r="E115" s="184">
        <v>402103.80300000001</v>
      </c>
      <c r="F115" s="184">
        <v>461311.97700000001</v>
      </c>
    </row>
    <row r="116" spans="1:6" x14ac:dyDescent="0.3">
      <c r="A116" s="220" t="s">
        <v>299</v>
      </c>
      <c r="B116" s="184">
        <v>642710.68099999998</v>
      </c>
      <c r="C116" s="184">
        <v>693604.64399999997</v>
      </c>
      <c r="D116" s="184">
        <v>730223.47</v>
      </c>
      <c r="E116" s="184">
        <v>821676.26599999995</v>
      </c>
      <c r="F116" s="184">
        <v>904764.07700000005</v>
      </c>
    </row>
    <row r="117" spans="1:6" x14ac:dyDescent="0.3">
      <c r="A117" s="220" t="s">
        <v>300</v>
      </c>
      <c r="B117" s="184">
        <v>21019.106</v>
      </c>
      <c r="C117" s="184">
        <v>27325.920999999998</v>
      </c>
      <c r="D117" s="184">
        <v>31642.013999999999</v>
      </c>
      <c r="E117" s="184">
        <v>9839.982</v>
      </c>
      <c r="F117" s="184">
        <v>17801.433000000001</v>
      </c>
    </row>
    <row r="118" spans="1:6" x14ac:dyDescent="0.3">
      <c r="A118" s="220" t="s">
        <v>301</v>
      </c>
      <c r="B118" s="184">
        <v>1743.9580000000001</v>
      </c>
      <c r="C118" s="184">
        <v>4156.82</v>
      </c>
      <c r="D118" s="184">
        <v>6309.3459999999995</v>
      </c>
      <c r="E118" s="184">
        <v>9848.42</v>
      </c>
      <c r="F118" s="184">
        <v>11820.124</v>
      </c>
    </row>
    <row r="119" spans="1:6" x14ac:dyDescent="0.3">
      <c r="A119" s="220" t="s">
        <v>302</v>
      </c>
      <c r="B119" s="184">
        <v>0</v>
      </c>
      <c r="C119" s="184">
        <v>0</v>
      </c>
      <c r="D119" s="184">
        <v>0</v>
      </c>
      <c r="E119" s="184">
        <v>0</v>
      </c>
      <c r="F119" s="184">
        <v>0</v>
      </c>
    </row>
    <row r="120" spans="1:6" x14ac:dyDescent="0.3">
      <c r="A120" s="220" t="s">
        <v>303</v>
      </c>
      <c r="B120" s="184">
        <v>928450.86899999995</v>
      </c>
      <c r="C120" s="184">
        <v>1032113.567</v>
      </c>
      <c r="D120" s="184">
        <v>1135323.9129999999</v>
      </c>
      <c r="E120" s="184">
        <v>1243468.4709999999</v>
      </c>
      <c r="F120" s="184">
        <v>1395694.611</v>
      </c>
    </row>
    <row r="121" spans="1:6" x14ac:dyDescent="0.3">
      <c r="A121" s="220" t="s">
        <v>304</v>
      </c>
      <c r="B121" s="184">
        <v>461608.93300000002</v>
      </c>
      <c r="C121" s="184">
        <v>522325.06099999999</v>
      </c>
      <c r="D121" s="184">
        <v>569423.27500000002</v>
      </c>
      <c r="E121" s="184">
        <v>637317.08700000006</v>
      </c>
      <c r="F121" s="184">
        <v>700983.31599999999</v>
      </c>
    </row>
    <row r="122" spans="1:6" x14ac:dyDescent="0.3">
      <c r="A122" s="220" t="s">
        <v>305</v>
      </c>
      <c r="B122" s="184">
        <v>466841.93599999999</v>
      </c>
      <c r="C122" s="184">
        <v>509788.50599999999</v>
      </c>
      <c r="D122" s="184">
        <v>565900.63800000004</v>
      </c>
      <c r="E122" s="184">
        <v>606151.38399999996</v>
      </c>
      <c r="F122" s="184">
        <v>694711.29500000004</v>
      </c>
    </row>
    <row r="123" spans="1:6" x14ac:dyDescent="0.3">
      <c r="A123" s="220" t="s">
        <v>306</v>
      </c>
      <c r="B123" s="184">
        <v>21383.932000000001</v>
      </c>
      <c r="C123" s="184">
        <v>21240.197</v>
      </c>
      <c r="D123" s="184">
        <v>17387.746999999999</v>
      </c>
      <c r="E123" s="184">
        <v>25337.894</v>
      </c>
      <c r="F123" s="184">
        <v>19912.623</v>
      </c>
    </row>
    <row r="124" spans="1:6" x14ac:dyDescent="0.3">
      <c r="A124" s="220" t="s">
        <v>307</v>
      </c>
      <c r="B124" s="184">
        <v>1.016</v>
      </c>
      <c r="C124" s="184">
        <v>0.115</v>
      </c>
      <c r="D124" s="184">
        <v>0.115</v>
      </c>
      <c r="E124" s="184">
        <v>11000.115</v>
      </c>
      <c r="F124" s="184">
        <v>8000.1149999999998</v>
      </c>
    </row>
    <row r="125" spans="1:6" x14ac:dyDescent="0.3">
      <c r="A125" s="220" t="s">
        <v>308</v>
      </c>
      <c r="B125" s="184">
        <v>21382.916000000001</v>
      </c>
      <c r="C125" s="184">
        <v>21240.081999999999</v>
      </c>
      <c r="D125" s="184">
        <v>17387.632000000001</v>
      </c>
      <c r="E125" s="184">
        <v>14337.779</v>
      </c>
      <c r="F125" s="184">
        <v>11912.508</v>
      </c>
    </row>
    <row r="126" spans="1:6" x14ac:dyDescent="0.3">
      <c r="A126" s="220" t="s">
        <v>309</v>
      </c>
      <c r="B126" s="184">
        <v>0</v>
      </c>
      <c r="C126" s="184">
        <v>0</v>
      </c>
      <c r="D126" s="184">
        <v>0</v>
      </c>
      <c r="E126" s="184">
        <v>0</v>
      </c>
      <c r="F126" s="184">
        <v>0</v>
      </c>
    </row>
    <row r="127" spans="1:6" x14ac:dyDescent="0.3">
      <c r="A127" s="220" t="s">
        <v>310</v>
      </c>
      <c r="B127" s="184">
        <v>21383.932000000001</v>
      </c>
      <c r="C127" s="184">
        <v>21240.197</v>
      </c>
      <c r="D127" s="184">
        <v>17387.746999999999</v>
      </c>
      <c r="E127" s="184">
        <v>25337.894</v>
      </c>
      <c r="F127" s="184">
        <v>19912.623</v>
      </c>
    </row>
    <row r="128" spans="1:6" x14ac:dyDescent="0.3">
      <c r="A128" s="220" t="s">
        <v>311</v>
      </c>
      <c r="B128" s="184">
        <v>7.6999999999999999E-2</v>
      </c>
      <c r="C128" s="184">
        <v>7.6999999999999999E-2</v>
      </c>
      <c r="D128" s="184">
        <v>7.6999999999999999E-2</v>
      </c>
      <c r="E128" s="184">
        <v>11000.078</v>
      </c>
      <c r="F128" s="184">
        <v>8000.0780000000004</v>
      </c>
    </row>
    <row r="129" spans="1:6" x14ac:dyDescent="0.3">
      <c r="A129" s="220" t="s">
        <v>312</v>
      </c>
      <c r="B129" s="184">
        <v>10553.644</v>
      </c>
      <c r="C129" s="184">
        <v>10438.072</v>
      </c>
      <c r="D129" s="184">
        <v>6413.902</v>
      </c>
      <c r="E129" s="184">
        <v>3393.6970000000001</v>
      </c>
      <c r="F129" s="184">
        <v>1093.702</v>
      </c>
    </row>
    <row r="130" spans="1:6" x14ac:dyDescent="0.3">
      <c r="A130" s="220" t="s">
        <v>313</v>
      </c>
      <c r="B130" s="184">
        <v>10830.210999999999</v>
      </c>
      <c r="C130" s="184">
        <v>10802.048000000001</v>
      </c>
      <c r="D130" s="184">
        <v>10973.768</v>
      </c>
      <c r="E130" s="184">
        <v>10944.119000000001</v>
      </c>
      <c r="F130" s="184">
        <v>10818.843000000001</v>
      </c>
    </row>
    <row r="131" spans="1:6" x14ac:dyDescent="0.3">
      <c r="A131" s="220" t="s">
        <v>314</v>
      </c>
      <c r="B131" s="184">
        <v>0</v>
      </c>
      <c r="C131" s="184">
        <v>0</v>
      </c>
      <c r="D131" s="184">
        <v>0</v>
      </c>
      <c r="E131" s="184">
        <v>0</v>
      </c>
      <c r="F131" s="184">
        <v>0</v>
      </c>
    </row>
    <row r="132" spans="1:6" x14ac:dyDescent="0.3">
      <c r="A132" s="220" t="s">
        <v>315</v>
      </c>
      <c r="B132" s="184">
        <v>67724.19</v>
      </c>
      <c r="C132" s="184">
        <v>69205.134000000005</v>
      </c>
      <c r="D132" s="184">
        <v>70749.001999999993</v>
      </c>
      <c r="E132" s="184">
        <v>88112.7</v>
      </c>
      <c r="F132" s="184">
        <v>108122.27800000001</v>
      </c>
    </row>
    <row r="133" spans="1:6" x14ac:dyDescent="0.3">
      <c r="A133" s="220" t="s">
        <v>316</v>
      </c>
      <c r="B133" s="184">
        <v>53185.411</v>
      </c>
      <c r="C133" s="184">
        <v>56056.453999999998</v>
      </c>
      <c r="D133" s="184">
        <v>59307.94</v>
      </c>
      <c r="E133" s="184">
        <v>75333.188999999998</v>
      </c>
      <c r="F133" s="184">
        <v>92462.698999999993</v>
      </c>
    </row>
    <row r="134" spans="1:6" x14ac:dyDescent="0.3">
      <c r="A134" s="220" t="s">
        <v>317</v>
      </c>
      <c r="B134" s="184">
        <v>4412.9070000000002</v>
      </c>
      <c r="C134" s="184">
        <v>2362.665</v>
      </c>
      <c r="D134" s="184">
        <v>1781.1969999999999</v>
      </c>
      <c r="E134" s="184">
        <v>3774.1880000000001</v>
      </c>
      <c r="F134" s="184">
        <v>6867.3609999999999</v>
      </c>
    </row>
    <row r="135" spans="1:6" x14ac:dyDescent="0.3">
      <c r="A135" s="220" t="s">
        <v>318</v>
      </c>
      <c r="B135" s="184">
        <v>8893.83</v>
      </c>
      <c r="C135" s="184">
        <v>9405.4470000000001</v>
      </c>
      <c r="D135" s="184">
        <v>8138.973</v>
      </c>
      <c r="E135" s="184">
        <v>7469.5529999999999</v>
      </c>
      <c r="F135" s="184">
        <v>7298.7870000000003</v>
      </c>
    </row>
    <row r="136" spans="1:6" x14ac:dyDescent="0.3">
      <c r="A136" s="220" t="s">
        <v>319</v>
      </c>
      <c r="B136" s="184">
        <v>326.78699999999998</v>
      </c>
      <c r="C136" s="184">
        <v>330.13099999999997</v>
      </c>
      <c r="D136" s="184">
        <v>307.67700000000002</v>
      </c>
      <c r="E136" s="184">
        <v>355.97</v>
      </c>
      <c r="F136" s="184">
        <v>485.81</v>
      </c>
    </row>
    <row r="137" spans="1:6" x14ac:dyDescent="0.3">
      <c r="A137" s="220" t="s">
        <v>320</v>
      </c>
      <c r="B137" s="184">
        <v>454.13099999999997</v>
      </c>
      <c r="C137" s="184">
        <v>448.02199999999999</v>
      </c>
      <c r="D137" s="184">
        <v>476.1</v>
      </c>
      <c r="E137" s="184">
        <v>572.04100000000005</v>
      </c>
      <c r="F137" s="184">
        <v>369.12900000000002</v>
      </c>
    </row>
    <row r="138" spans="1:6" x14ac:dyDescent="0.3">
      <c r="A138" s="220" t="s">
        <v>321</v>
      </c>
      <c r="B138" s="184">
        <v>0</v>
      </c>
      <c r="C138" s="184">
        <v>0</v>
      </c>
      <c r="D138" s="184">
        <v>0</v>
      </c>
      <c r="E138" s="184">
        <v>0</v>
      </c>
      <c r="F138" s="184">
        <v>0</v>
      </c>
    </row>
    <row r="139" spans="1:6" x14ac:dyDescent="0.3">
      <c r="A139" s="220" t="s">
        <v>322</v>
      </c>
      <c r="B139" s="184">
        <v>451.12400000000002</v>
      </c>
      <c r="C139" s="184">
        <v>602.41499999999996</v>
      </c>
      <c r="D139" s="184">
        <v>737.11500000000001</v>
      </c>
      <c r="E139" s="184">
        <v>607.75900000000001</v>
      </c>
      <c r="F139" s="184">
        <v>638.49199999999996</v>
      </c>
    </row>
    <row r="140" spans="1:6" x14ac:dyDescent="0.3">
      <c r="A140" s="220" t="s">
        <v>323</v>
      </c>
      <c r="B140" s="184">
        <v>-33146.839999999997</v>
      </c>
      <c r="C140" s="184">
        <v>-32919.659</v>
      </c>
      <c r="D140" s="184">
        <v>-28349.384999999998</v>
      </c>
      <c r="E140" s="184">
        <v>-34866.222000000002</v>
      </c>
      <c r="F140" s="184">
        <v>-54501.409</v>
      </c>
    </row>
    <row r="141" spans="1:6" x14ac:dyDescent="0.3">
      <c r="A141" s="220" t="s">
        <v>324</v>
      </c>
      <c r="B141" s="184">
        <v>-31224.708999999999</v>
      </c>
      <c r="C141" s="184">
        <v>-31150.286</v>
      </c>
      <c r="D141" s="184">
        <v>-26588.385999999999</v>
      </c>
      <c r="E141" s="184">
        <v>-33290.697</v>
      </c>
      <c r="F141" s="184">
        <v>-52314.735999999997</v>
      </c>
    </row>
    <row r="142" spans="1:6" x14ac:dyDescent="0.3">
      <c r="A142" s="220" t="s">
        <v>325</v>
      </c>
      <c r="B142" s="184">
        <v>-337.22300000000001</v>
      </c>
      <c r="C142" s="184">
        <v>-197.70500000000001</v>
      </c>
      <c r="D142" s="184">
        <v>-283.75700000000001</v>
      </c>
      <c r="E142" s="184">
        <v>-494.17899999999997</v>
      </c>
      <c r="F142" s="184">
        <v>-652.06799999999998</v>
      </c>
    </row>
    <row r="143" spans="1:6" x14ac:dyDescent="0.3">
      <c r="A143" s="220" t="s">
        <v>326</v>
      </c>
      <c r="B143" s="184">
        <v>-1500.039</v>
      </c>
      <c r="C143" s="184">
        <v>-1503.84</v>
      </c>
      <c r="D143" s="184">
        <v>-1427.85</v>
      </c>
      <c r="E143" s="184">
        <v>-1025.298</v>
      </c>
      <c r="F143" s="184">
        <v>-1467.1510000000001</v>
      </c>
    </row>
    <row r="144" spans="1:6" x14ac:dyDescent="0.3">
      <c r="A144" s="220" t="s">
        <v>327</v>
      </c>
      <c r="B144" s="184">
        <v>-84.869</v>
      </c>
      <c r="C144" s="184">
        <v>-67.828000000000003</v>
      </c>
      <c r="D144" s="184">
        <v>-49.392000000000003</v>
      </c>
      <c r="E144" s="184">
        <v>-56.048000000000002</v>
      </c>
      <c r="F144" s="184">
        <v>-67.453999999999994</v>
      </c>
    </row>
    <row r="145" spans="1:6" x14ac:dyDescent="0.3">
      <c r="A145" s="220" t="s">
        <v>328</v>
      </c>
      <c r="B145" s="184">
        <v>9002.5069999999996</v>
      </c>
      <c r="C145" s="184">
        <v>10588.163</v>
      </c>
      <c r="D145" s="184">
        <v>11286.516</v>
      </c>
      <c r="E145" s="184">
        <v>12425.007</v>
      </c>
      <c r="F145" s="184">
        <v>12632.739</v>
      </c>
    </row>
    <row r="146" spans="1:6" x14ac:dyDescent="0.3">
      <c r="A146" s="220" t="s">
        <v>329</v>
      </c>
      <c r="B146" s="184">
        <v>6199.1940000000004</v>
      </c>
      <c r="C146" s="184">
        <v>6017.6610000000001</v>
      </c>
      <c r="D146" s="184">
        <v>5984.3519999999999</v>
      </c>
      <c r="E146" s="184">
        <v>6001.0290000000005</v>
      </c>
      <c r="F146" s="184">
        <v>6601.6589999999997</v>
      </c>
    </row>
    <row r="147" spans="1:6" x14ac:dyDescent="0.3">
      <c r="A147" s="220" t="s">
        <v>330</v>
      </c>
      <c r="B147" s="184">
        <v>164.50700000000001</v>
      </c>
      <c r="C147" s="184">
        <v>74.593000000000004</v>
      </c>
      <c r="D147" s="184">
        <v>68.34</v>
      </c>
      <c r="E147" s="184">
        <v>75.477999999999994</v>
      </c>
      <c r="F147" s="184">
        <v>51.923999999999999</v>
      </c>
    </row>
    <row r="148" spans="1:6" x14ac:dyDescent="0.3">
      <c r="A148" s="220" t="s">
        <v>331</v>
      </c>
      <c r="B148" s="184">
        <v>1.278</v>
      </c>
      <c r="C148" s="184">
        <v>9.2889999999999997</v>
      </c>
      <c r="D148" s="184">
        <v>35.404000000000003</v>
      </c>
      <c r="E148" s="184">
        <v>57.11</v>
      </c>
      <c r="F148" s="184">
        <v>0.72</v>
      </c>
    </row>
    <row r="149" spans="1:6" x14ac:dyDescent="0.3">
      <c r="A149" s="220" t="s">
        <v>332</v>
      </c>
      <c r="B149" s="184">
        <v>0</v>
      </c>
      <c r="C149" s="184">
        <v>0</v>
      </c>
      <c r="D149" s="184">
        <v>0</v>
      </c>
      <c r="E149" s="184">
        <v>0</v>
      </c>
      <c r="F149" s="184">
        <v>0</v>
      </c>
    </row>
    <row r="150" spans="1:6" x14ac:dyDescent="0.3">
      <c r="A150" s="220" t="s">
        <v>333</v>
      </c>
      <c r="B150" s="184">
        <v>0</v>
      </c>
      <c r="C150" s="184">
        <v>0</v>
      </c>
      <c r="D150" s="184">
        <v>0</v>
      </c>
      <c r="E150" s="184">
        <v>0</v>
      </c>
      <c r="F150" s="184">
        <v>0</v>
      </c>
    </row>
    <row r="151" spans="1:6" x14ac:dyDescent="0.3">
      <c r="A151" s="220" t="s">
        <v>334</v>
      </c>
      <c r="B151" s="184">
        <v>0</v>
      </c>
      <c r="C151" s="184">
        <v>0</v>
      </c>
      <c r="D151" s="184">
        <v>0</v>
      </c>
      <c r="E151" s="184">
        <v>0</v>
      </c>
      <c r="F151" s="184">
        <v>0</v>
      </c>
    </row>
    <row r="152" spans="1:6" x14ac:dyDescent="0.3">
      <c r="A152" s="220" t="s">
        <v>335</v>
      </c>
      <c r="B152" s="184">
        <v>2637.5279999999998</v>
      </c>
      <c r="C152" s="184">
        <v>4486.62</v>
      </c>
      <c r="D152" s="184">
        <v>5198.42</v>
      </c>
      <c r="E152" s="184">
        <v>6291.39</v>
      </c>
      <c r="F152" s="184">
        <v>5978.4359999999997</v>
      </c>
    </row>
    <row r="153" spans="1:6" x14ac:dyDescent="0.3">
      <c r="A153" s="220" t="s">
        <v>336</v>
      </c>
      <c r="B153" s="184">
        <v>-4695.6629999999996</v>
      </c>
      <c r="C153" s="184">
        <v>-3980.846</v>
      </c>
      <c r="D153" s="184">
        <v>-3879.4430000000002</v>
      </c>
      <c r="E153" s="184">
        <v>-5585.9070000000002</v>
      </c>
      <c r="F153" s="184">
        <v>-6853.0159999999996</v>
      </c>
    </row>
    <row r="154" spans="1:6" x14ac:dyDescent="0.3">
      <c r="A154" s="220" t="s">
        <v>337</v>
      </c>
      <c r="B154" s="184">
        <v>-3877.0070000000001</v>
      </c>
      <c r="C154" s="184">
        <v>-3192.4929999999999</v>
      </c>
      <c r="D154" s="184">
        <v>-2998.989</v>
      </c>
      <c r="E154" s="184">
        <v>-4424.8339999999998</v>
      </c>
      <c r="F154" s="184">
        <v>-5541.2420000000002</v>
      </c>
    </row>
    <row r="155" spans="1:6" x14ac:dyDescent="0.3">
      <c r="A155" s="220" t="s">
        <v>338</v>
      </c>
      <c r="B155" s="184">
        <v>-96.570999999999998</v>
      </c>
      <c r="C155" s="184">
        <v>-109.932</v>
      </c>
      <c r="D155" s="184">
        <v>-119.55800000000001</v>
      </c>
      <c r="E155" s="184">
        <v>-127.938</v>
      </c>
      <c r="F155" s="184">
        <v>-105.03100000000001</v>
      </c>
    </row>
    <row r="156" spans="1:6" x14ac:dyDescent="0.3">
      <c r="A156" s="220" t="s">
        <v>339</v>
      </c>
      <c r="B156" s="184">
        <v>-114.68</v>
      </c>
      <c r="C156" s="184">
        <v>-125.17400000000001</v>
      </c>
      <c r="D156" s="184">
        <v>-136.648</v>
      </c>
      <c r="E156" s="184">
        <v>-146.125</v>
      </c>
      <c r="F156" s="184">
        <v>-152.55699999999999</v>
      </c>
    </row>
    <row r="157" spans="1:6" x14ac:dyDescent="0.3">
      <c r="A157" s="220" t="s">
        <v>340</v>
      </c>
      <c r="B157" s="184">
        <v>-3.4849999999999999</v>
      </c>
      <c r="C157" s="184">
        <v>-6.1070000000000002</v>
      </c>
      <c r="D157" s="184">
        <v>-12.085000000000001</v>
      </c>
      <c r="E157" s="184">
        <v>-21.587</v>
      </c>
      <c r="F157" s="184">
        <v>-9.8719999999999999</v>
      </c>
    </row>
    <row r="158" spans="1:6" x14ac:dyDescent="0.3">
      <c r="A158" s="220" t="s">
        <v>341</v>
      </c>
      <c r="B158" s="184">
        <v>0</v>
      </c>
      <c r="C158" s="184">
        <v>0</v>
      </c>
      <c r="D158" s="184">
        <v>0</v>
      </c>
      <c r="E158" s="184">
        <v>0</v>
      </c>
      <c r="F158" s="184">
        <v>0</v>
      </c>
    </row>
    <row r="159" spans="1:6" x14ac:dyDescent="0.3">
      <c r="A159" s="220" t="s">
        <v>342</v>
      </c>
      <c r="B159" s="184">
        <v>0</v>
      </c>
      <c r="C159" s="184">
        <v>0</v>
      </c>
      <c r="D159" s="184">
        <v>0</v>
      </c>
      <c r="E159" s="184">
        <v>0</v>
      </c>
      <c r="F159" s="184">
        <v>0</v>
      </c>
    </row>
    <row r="160" spans="1:6" x14ac:dyDescent="0.3">
      <c r="A160" s="220" t="s">
        <v>343</v>
      </c>
      <c r="B160" s="184">
        <v>0</v>
      </c>
      <c r="C160" s="184">
        <v>0</v>
      </c>
      <c r="D160" s="184">
        <v>0</v>
      </c>
      <c r="E160" s="184">
        <v>0</v>
      </c>
      <c r="F160" s="184">
        <v>0</v>
      </c>
    </row>
    <row r="161" spans="1:6" x14ac:dyDescent="0.3">
      <c r="A161" s="220" t="s">
        <v>344</v>
      </c>
      <c r="B161" s="184">
        <v>-603.91999999999996</v>
      </c>
      <c r="C161" s="184">
        <v>-547.14</v>
      </c>
      <c r="D161" s="184">
        <v>-612.16300000000001</v>
      </c>
      <c r="E161" s="184">
        <v>-865.423</v>
      </c>
      <c r="F161" s="184">
        <v>-1044.3140000000001</v>
      </c>
    </row>
    <row r="162" spans="1:6" x14ac:dyDescent="0.3">
      <c r="A162" s="220" t="s">
        <v>345</v>
      </c>
      <c r="B162" s="184">
        <v>7780.9470000000001</v>
      </c>
      <c r="C162" s="184">
        <v>7972.9579999999996</v>
      </c>
      <c r="D162" s="184">
        <v>9695.9950000000008</v>
      </c>
      <c r="E162" s="184">
        <v>10656.237999999999</v>
      </c>
      <c r="F162" s="184">
        <v>10391.049999999999</v>
      </c>
    </row>
    <row r="163" spans="1:6" x14ac:dyDescent="0.3">
      <c r="A163" s="220" t="s">
        <v>346</v>
      </c>
      <c r="B163" s="184">
        <v>6397.1</v>
      </c>
      <c r="C163" s="184">
        <v>6841.473</v>
      </c>
      <c r="D163" s="184">
        <v>8202.8189999999995</v>
      </c>
      <c r="E163" s="184">
        <v>9559.5069999999996</v>
      </c>
      <c r="F163" s="184">
        <v>7715.0209999999997</v>
      </c>
    </row>
    <row r="164" spans="1:6" x14ac:dyDescent="0.3">
      <c r="A164" s="220" t="s">
        <v>347</v>
      </c>
      <c r="B164" s="184">
        <v>781.00099999999998</v>
      </c>
      <c r="C164" s="184">
        <v>650.399</v>
      </c>
      <c r="D164" s="184">
        <v>451.85199999999998</v>
      </c>
      <c r="E164" s="184">
        <v>918.92399999999998</v>
      </c>
      <c r="F164" s="184">
        <v>836.36400000000003</v>
      </c>
    </row>
    <row r="165" spans="1:6" x14ac:dyDescent="0.3">
      <c r="A165" s="220" t="s">
        <v>348</v>
      </c>
      <c r="B165" s="184">
        <v>562.52300000000002</v>
      </c>
      <c r="C165" s="184">
        <v>474.54500000000002</v>
      </c>
      <c r="D165" s="184">
        <v>371.35599999999999</v>
      </c>
      <c r="E165" s="184">
        <v>8.8420000000000005</v>
      </c>
      <c r="F165" s="184">
        <v>28.048999999999999</v>
      </c>
    </row>
    <row r="166" spans="1:6" x14ac:dyDescent="0.3">
      <c r="A166" s="220" t="s">
        <v>349</v>
      </c>
      <c r="B166" s="184">
        <v>40.323</v>
      </c>
      <c r="C166" s="184">
        <v>6.5410000000000004</v>
      </c>
      <c r="D166" s="184">
        <v>669.96799999999996</v>
      </c>
      <c r="E166" s="184">
        <v>168.965</v>
      </c>
      <c r="F166" s="184">
        <v>1811.616</v>
      </c>
    </row>
    <row r="167" spans="1:6" x14ac:dyDescent="0.3">
      <c r="A167" s="220" t="s">
        <v>350</v>
      </c>
      <c r="B167" s="184">
        <v>-4402.6729999999998</v>
      </c>
      <c r="C167" s="184">
        <v>-4066.5590000000002</v>
      </c>
      <c r="D167" s="184">
        <v>-5321.1750000000002</v>
      </c>
      <c r="E167" s="184">
        <v>-4887.7929999999997</v>
      </c>
      <c r="F167" s="184">
        <v>-4731.0219999999999</v>
      </c>
    </row>
    <row r="168" spans="1:6" x14ac:dyDescent="0.3">
      <c r="A168" s="220" t="s">
        <v>351</v>
      </c>
      <c r="B168" s="184">
        <v>-3627.7730000000001</v>
      </c>
      <c r="C168" s="184">
        <v>-2913.0340000000001</v>
      </c>
      <c r="D168" s="184">
        <v>-3357.3809999999999</v>
      </c>
      <c r="E168" s="184">
        <v>-2445.0619999999999</v>
      </c>
      <c r="F168" s="184">
        <v>-170.887</v>
      </c>
    </row>
    <row r="169" spans="1:6" x14ac:dyDescent="0.3">
      <c r="A169" s="220" t="s">
        <v>352</v>
      </c>
      <c r="B169" s="184">
        <v>-653.96699999999998</v>
      </c>
      <c r="C169" s="184">
        <v>-1068.5160000000001</v>
      </c>
      <c r="D169" s="184">
        <v>-1374.8019999999999</v>
      </c>
      <c r="E169" s="184">
        <v>-1932.701</v>
      </c>
      <c r="F169" s="184">
        <v>-3261.6909999999998</v>
      </c>
    </row>
    <row r="170" spans="1:6" x14ac:dyDescent="0.3">
      <c r="A170" s="220" t="s">
        <v>353</v>
      </c>
      <c r="B170" s="184">
        <v>-73.863</v>
      </c>
      <c r="C170" s="184">
        <v>-39.476999999999997</v>
      </c>
      <c r="D170" s="184">
        <v>-539.28300000000002</v>
      </c>
      <c r="E170" s="184">
        <v>-372.565</v>
      </c>
      <c r="F170" s="184">
        <v>-1286.47</v>
      </c>
    </row>
    <row r="171" spans="1:6" x14ac:dyDescent="0.3">
      <c r="A171" s="220" t="s">
        <v>354</v>
      </c>
      <c r="B171" s="184">
        <v>-47.07</v>
      </c>
      <c r="C171" s="184">
        <v>-45.531999999999996</v>
      </c>
      <c r="D171" s="184">
        <v>-49.709000000000003</v>
      </c>
      <c r="E171" s="184">
        <v>-137.465</v>
      </c>
      <c r="F171" s="184">
        <v>-11.974</v>
      </c>
    </row>
    <row r="172" spans="1:6" x14ac:dyDescent="0.3">
      <c r="A172" s="220" t="s">
        <v>355</v>
      </c>
      <c r="B172" s="184">
        <v>145.982</v>
      </c>
      <c r="C172" s="184">
        <v>1.81</v>
      </c>
      <c r="D172" s="184">
        <v>104.114</v>
      </c>
      <c r="E172" s="184">
        <v>-115.194</v>
      </c>
      <c r="F172" s="184">
        <v>124.217</v>
      </c>
    </row>
    <row r="173" spans="1:6" x14ac:dyDescent="0.3">
      <c r="A173" s="220" t="s">
        <v>356</v>
      </c>
      <c r="B173" s="184">
        <v>207.33699999999999</v>
      </c>
      <c r="C173" s="184">
        <v>113.29900000000001</v>
      </c>
      <c r="D173" s="184">
        <v>191.38300000000001</v>
      </c>
      <c r="E173" s="184">
        <v>139.26</v>
      </c>
      <c r="F173" s="184">
        <v>123.53100000000001</v>
      </c>
    </row>
    <row r="174" spans="1:6" x14ac:dyDescent="0.3">
      <c r="A174" s="220" t="s">
        <v>357</v>
      </c>
      <c r="B174" s="184">
        <v>-43.097999999999999</v>
      </c>
      <c r="C174" s="184">
        <v>-162.191</v>
      </c>
      <c r="D174" s="184">
        <v>-68.635999999999996</v>
      </c>
      <c r="E174" s="184">
        <v>-233.44800000000001</v>
      </c>
      <c r="F174" s="184">
        <v>-27.215</v>
      </c>
    </row>
    <row r="175" spans="1:6" x14ac:dyDescent="0.3">
      <c r="A175" s="220" t="s">
        <v>358</v>
      </c>
      <c r="B175" s="184">
        <v>-18.257000000000001</v>
      </c>
      <c r="C175" s="184">
        <v>50.701999999999998</v>
      </c>
      <c r="D175" s="184">
        <v>-18.632999999999999</v>
      </c>
      <c r="E175" s="184">
        <v>-21.006</v>
      </c>
      <c r="F175" s="184">
        <v>27.901</v>
      </c>
    </row>
    <row r="176" spans="1:6" x14ac:dyDescent="0.3">
      <c r="A176" s="220" t="s">
        <v>359</v>
      </c>
      <c r="B176" s="184">
        <v>0</v>
      </c>
      <c r="C176" s="184">
        <v>0</v>
      </c>
      <c r="D176" s="184">
        <v>0</v>
      </c>
      <c r="E176" s="184">
        <v>0</v>
      </c>
      <c r="F176" s="184">
        <v>0</v>
      </c>
    </row>
    <row r="177" spans="1:6" x14ac:dyDescent="0.3">
      <c r="A177" s="220" t="s">
        <v>360</v>
      </c>
      <c r="B177" s="184">
        <v>7.04</v>
      </c>
      <c r="C177" s="184">
        <v>-9.8000000000000004E-2</v>
      </c>
      <c r="D177" s="184">
        <v>-85.126000000000005</v>
      </c>
      <c r="E177" s="184">
        <v>81.594999999999999</v>
      </c>
      <c r="F177" s="184">
        <v>0</v>
      </c>
    </row>
    <row r="178" spans="1:6" x14ac:dyDescent="0.3">
      <c r="A178" s="220" t="s">
        <v>361</v>
      </c>
      <c r="B178" s="184">
        <v>7.22</v>
      </c>
      <c r="C178" s="184">
        <v>0</v>
      </c>
      <c r="D178" s="184">
        <v>1.27</v>
      </c>
      <c r="E178" s="184">
        <v>35.280999999999999</v>
      </c>
      <c r="F178" s="184">
        <v>0</v>
      </c>
    </row>
    <row r="179" spans="1:6" x14ac:dyDescent="0.3">
      <c r="A179" s="220" t="s">
        <v>362</v>
      </c>
      <c r="B179" s="184">
        <v>-1E-3</v>
      </c>
      <c r="C179" s="184">
        <v>0</v>
      </c>
      <c r="D179" s="184">
        <v>0</v>
      </c>
      <c r="E179" s="184">
        <v>-40.359000000000002</v>
      </c>
      <c r="F179" s="184">
        <v>0</v>
      </c>
    </row>
    <row r="180" spans="1:6" x14ac:dyDescent="0.3">
      <c r="A180" s="220" t="s">
        <v>363</v>
      </c>
      <c r="B180" s="184">
        <v>-0.17899999999999999</v>
      </c>
      <c r="C180" s="184">
        <v>-9.8000000000000004E-2</v>
      </c>
      <c r="D180" s="184">
        <v>-86.396000000000001</v>
      </c>
      <c r="E180" s="184">
        <v>86.673000000000002</v>
      </c>
      <c r="F180" s="184">
        <v>0</v>
      </c>
    </row>
    <row r="181" spans="1:6" x14ac:dyDescent="0.3">
      <c r="A181" s="220" t="s">
        <v>364</v>
      </c>
      <c r="B181" s="184">
        <v>0</v>
      </c>
      <c r="C181" s="184">
        <v>0</v>
      </c>
      <c r="D181" s="184">
        <v>0</v>
      </c>
      <c r="E181" s="184">
        <v>0</v>
      </c>
      <c r="F181" s="184">
        <v>0</v>
      </c>
    </row>
    <row r="182" spans="1:6" x14ac:dyDescent="0.3">
      <c r="A182" s="220" t="s">
        <v>365</v>
      </c>
      <c r="B182" s="184">
        <v>3427.7649999999999</v>
      </c>
      <c r="C182" s="184">
        <v>2544.7139999999999</v>
      </c>
      <c r="D182" s="184">
        <v>3100.37</v>
      </c>
      <c r="E182" s="184">
        <v>2928.3389999999999</v>
      </c>
      <c r="F182" s="184">
        <v>4050.1439999999998</v>
      </c>
    </row>
    <row r="183" spans="1:6" x14ac:dyDescent="0.3">
      <c r="A183" s="220" t="s">
        <v>366</v>
      </c>
      <c r="B183" s="184">
        <v>59.59</v>
      </c>
      <c r="C183" s="184">
        <v>0.19500000000000001</v>
      </c>
      <c r="D183" s="184">
        <v>0</v>
      </c>
      <c r="E183" s="184">
        <v>0</v>
      </c>
      <c r="F183" s="184">
        <v>0</v>
      </c>
    </row>
    <row r="184" spans="1:6" x14ac:dyDescent="0.3">
      <c r="A184" s="220" t="s">
        <v>367</v>
      </c>
      <c r="B184" s="184">
        <v>3179.5259999999998</v>
      </c>
      <c r="C184" s="184">
        <v>2421.7249999999999</v>
      </c>
      <c r="D184" s="184">
        <v>2912.23</v>
      </c>
      <c r="E184" s="184">
        <v>2394.7440000000001</v>
      </c>
      <c r="F184" s="184">
        <v>2090.116</v>
      </c>
    </row>
    <row r="185" spans="1:6" x14ac:dyDescent="0.3">
      <c r="A185" s="220" t="s">
        <v>368</v>
      </c>
      <c r="B185" s="184">
        <v>0</v>
      </c>
      <c r="C185" s="184">
        <v>0</v>
      </c>
      <c r="D185" s="184">
        <v>0</v>
      </c>
      <c r="E185" s="184">
        <v>0</v>
      </c>
      <c r="F185" s="184">
        <v>0</v>
      </c>
    </row>
    <row r="186" spans="1:6" x14ac:dyDescent="0.3">
      <c r="A186" s="220" t="s">
        <v>369</v>
      </c>
      <c r="B186" s="184">
        <v>188.649</v>
      </c>
      <c r="C186" s="184">
        <v>122.794</v>
      </c>
      <c r="D186" s="184">
        <v>188.14</v>
      </c>
      <c r="E186" s="184">
        <v>533.59500000000003</v>
      </c>
      <c r="F186" s="184">
        <v>1960.028</v>
      </c>
    </row>
    <row r="187" spans="1:6" x14ac:dyDescent="0.3">
      <c r="A187" s="220" t="s">
        <v>370</v>
      </c>
      <c r="B187" s="184">
        <v>-357.97</v>
      </c>
      <c r="C187" s="184">
        <v>-744.46100000000001</v>
      </c>
      <c r="D187" s="184">
        <v>-707.10900000000004</v>
      </c>
      <c r="E187" s="184">
        <v>-874.37800000000004</v>
      </c>
      <c r="F187" s="184">
        <v>-1777.9749999999999</v>
      </c>
    </row>
    <row r="188" spans="1:6" x14ac:dyDescent="0.3">
      <c r="A188" s="220" t="s">
        <v>371</v>
      </c>
      <c r="B188" s="184">
        <v>0</v>
      </c>
      <c r="C188" s="184">
        <v>-117.968</v>
      </c>
      <c r="D188" s="184">
        <v>-206.197</v>
      </c>
      <c r="E188" s="184">
        <v>0</v>
      </c>
      <c r="F188" s="184">
        <v>0</v>
      </c>
    </row>
    <row r="189" spans="1:6" x14ac:dyDescent="0.3">
      <c r="A189" s="220" t="s">
        <v>372</v>
      </c>
      <c r="B189" s="184">
        <v>-3.2000000000000001E-2</v>
      </c>
      <c r="C189" s="184">
        <v>-0.17100000000000001</v>
      </c>
      <c r="D189" s="184">
        <v>-0.13800000000000001</v>
      </c>
      <c r="E189" s="184">
        <v>-5.1999999999999998E-2</v>
      </c>
      <c r="F189" s="184">
        <v>-9.1999999999999998E-2</v>
      </c>
    </row>
    <row r="190" spans="1:6" x14ac:dyDescent="0.3">
      <c r="A190" s="220" t="s">
        <v>373</v>
      </c>
      <c r="B190" s="184">
        <v>0</v>
      </c>
      <c r="C190" s="184">
        <v>0</v>
      </c>
      <c r="D190" s="184">
        <v>0</v>
      </c>
      <c r="E190" s="184">
        <v>0</v>
      </c>
      <c r="F190" s="184">
        <v>0</v>
      </c>
    </row>
    <row r="191" spans="1:6" x14ac:dyDescent="0.3">
      <c r="A191" s="220" t="s">
        <v>374</v>
      </c>
      <c r="B191" s="184">
        <v>-163.238</v>
      </c>
      <c r="C191" s="184">
        <v>-301.18400000000003</v>
      </c>
      <c r="D191" s="184">
        <v>-426.72500000000002</v>
      </c>
      <c r="E191" s="184">
        <v>-316.34199999999998</v>
      </c>
      <c r="F191" s="184">
        <v>-332.327</v>
      </c>
    </row>
    <row r="192" spans="1:6" x14ac:dyDescent="0.3">
      <c r="A192" s="220" t="s">
        <v>375</v>
      </c>
      <c r="B192" s="184">
        <v>-194.7</v>
      </c>
      <c r="C192" s="184">
        <v>-325.13799999999998</v>
      </c>
      <c r="D192" s="184">
        <v>-74.049000000000007</v>
      </c>
      <c r="E192" s="184">
        <v>-557.98400000000004</v>
      </c>
      <c r="F192" s="184">
        <v>-1445.556</v>
      </c>
    </row>
    <row r="193" spans="1:6" x14ac:dyDescent="0.3">
      <c r="A193" s="220" t="s">
        <v>376</v>
      </c>
      <c r="B193" s="184">
        <v>245.096</v>
      </c>
      <c r="C193" s="184">
        <v>461.38499999999999</v>
      </c>
      <c r="D193" s="184">
        <v>129.81</v>
      </c>
      <c r="E193" s="184">
        <v>208.43600000000001</v>
      </c>
      <c r="F193" s="184">
        <v>266.45600000000002</v>
      </c>
    </row>
    <row r="194" spans="1:6" x14ac:dyDescent="0.3">
      <c r="A194" s="220" t="s">
        <v>377</v>
      </c>
      <c r="B194" s="184">
        <v>154.58199999999999</v>
      </c>
      <c r="C194" s="184">
        <v>83.959000000000003</v>
      </c>
      <c r="D194" s="184">
        <v>93.953000000000003</v>
      </c>
      <c r="E194" s="184">
        <v>117.241</v>
      </c>
      <c r="F194" s="184">
        <v>135.40299999999999</v>
      </c>
    </row>
    <row r="195" spans="1:6" x14ac:dyDescent="0.3">
      <c r="A195" s="220" t="s">
        <v>378</v>
      </c>
      <c r="B195" s="184">
        <v>48.177999999999997</v>
      </c>
      <c r="C195" s="184">
        <v>335.274</v>
      </c>
      <c r="D195" s="184">
        <v>3.927</v>
      </c>
      <c r="E195" s="184">
        <v>69.581999999999994</v>
      </c>
      <c r="F195" s="184">
        <v>0</v>
      </c>
    </row>
    <row r="196" spans="1:6" x14ac:dyDescent="0.3">
      <c r="A196" s="220" t="s">
        <v>379</v>
      </c>
      <c r="B196" s="184">
        <v>42.335999999999999</v>
      </c>
      <c r="C196" s="184">
        <v>42.152000000000001</v>
      </c>
      <c r="D196" s="184">
        <v>31.93</v>
      </c>
      <c r="E196" s="184">
        <v>21.613</v>
      </c>
      <c r="F196" s="184">
        <v>131.053</v>
      </c>
    </row>
    <row r="197" spans="1:6" x14ac:dyDescent="0.3">
      <c r="A197" s="220" t="s">
        <v>380</v>
      </c>
      <c r="B197" s="184">
        <v>0</v>
      </c>
      <c r="C197" s="184">
        <v>0</v>
      </c>
      <c r="D197" s="184">
        <v>0</v>
      </c>
      <c r="E197" s="184">
        <v>0</v>
      </c>
      <c r="F197" s="184">
        <v>0</v>
      </c>
    </row>
    <row r="198" spans="1:6" x14ac:dyDescent="0.3">
      <c r="A198" s="220" t="s">
        <v>381</v>
      </c>
      <c r="B198" s="184">
        <v>-15817.575000000001</v>
      </c>
      <c r="C198" s="184">
        <v>-16038.25</v>
      </c>
      <c r="D198" s="184">
        <v>-17574.578000000001</v>
      </c>
      <c r="E198" s="184">
        <v>-21250.511999999999</v>
      </c>
      <c r="F198" s="184">
        <v>-21914.899000000001</v>
      </c>
    </row>
    <row r="199" spans="1:6" x14ac:dyDescent="0.3">
      <c r="A199" s="220" t="s">
        <v>382</v>
      </c>
      <c r="B199" s="184">
        <v>-302.19499999999999</v>
      </c>
      <c r="C199" s="184">
        <v>-246.322</v>
      </c>
      <c r="D199" s="184">
        <v>-246.05600000000001</v>
      </c>
      <c r="E199" s="184">
        <v>-356.67099999999999</v>
      </c>
      <c r="F199" s="184">
        <v>-451.19499999999999</v>
      </c>
    </row>
    <row r="200" spans="1:6" x14ac:dyDescent="0.3">
      <c r="A200" s="220" t="s">
        <v>383</v>
      </c>
      <c r="B200" s="184">
        <v>-8668.5120000000006</v>
      </c>
      <c r="C200" s="184">
        <v>-8603.0509999999995</v>
      </c>
      <c r="D200" s="184">
        <v>-9586.3979999999992</v>
      </c>
      <c r="E200" s="184">
        <v>-10704.534</v>
      </c>
      <c r="F200" s="184">
        <v>-11718.438</v>
      </c>
    </row>
    <row r="201" spans="1:6" x14ac:dyDescent="0.3">
      <c r="A201" s="220" t="s">
        <v>384</v>
      </c>
      <c r="B201" s="184">
        <v>-8461.1530000000002</v>
      </c>
      <c r="C201" s="184">
        <v>-8358.2939999999999</v>
      </c>
      <c r="D201" s="184">
        <v>-9219.5159999999996</v>
      </c>
      <c r="E201" s="184">
        <v>-10318.688</v>
      </c>
      <c r="F201" s="184">
        <v>-11383.447</v>
      </c>
    </row>
    <row r="202" spans="1:6" x14ac:dyDescent="0.3">
      <c r="A202" s="220" t="s">
        <v>385</v>
      </c>
      <c r="B202" s="184">
        <v>-2700.9569999999999</v>
      </c>
      <c r="C202" s="184">
        <v>-2902.5279999999998</v>
      </c>
      <c r="D202" s="184">
        <v>-3462.4259999999999</v>
      </c>
      <c r="E202" s="184">
        <v>-4017.3150000000001</v>
      </c>
      <c r="F202" s="184">
        <v>-3455.6129999999998</v>
      </c>
    </row>
    <row r="203" spans="1:6" x14ac:dyDescent="0.3">
      <c r="A203" s="220" t="s">
        <v>386</v>
      </c>
      <c r="B203" s="184">
        <v>-826.76099999999997</v>
      </c>
      <c r="C203" s="184">
        <v>-1168.499</v>
      </c>
      <c r="D203" s="184">
        <v>-1412.306</v>
      </c>
      <c r="E203" s="184">
        <v>-1345.1980000000001</v>
      </c>
      <c r="F203" s="184">
        <v>-1269.347</v>
      </c>
    </row>
    <row r="204" spans="1:6" x14ac:dyDescent="0.3">
      <c r="A204" s="220" t="s">
        <v>387</v>
      </c>
      <c r="B204" s="184">
        <v>-3515.4160000000002</v>
      </c>
      <c r="C204" s="184">
        <v>-3603.5309999999999</v>
      </c>
      <c r="D204" s="184">
        <v>-3496.5909999999999</v>
      </c>
      <c r="E204" s="184">
        <v>-5226.3490000000002</v>
      </c>
      <c r="F204" s="184">
        <v>-5284.1750000000002</v>
      </c>
    </row>
    <row r="205" spans="1:6" x14ac:dyDescent="0.3">
      <c r="A205" s="220" t="s">
        <v>388</v>
      </c>
      <c r="B205" s="184">
        <v>-578.98099999999999</v>
      </c>
      <c r="C205" s="184">
        <v>-631.78800000000001</v>
      </c>
      <c r="D205" s="184">
        <v>-711.25699999999995</v>
      </c>
      <c r="E205" s="184">
        <v>-802.452</v>
      </c>
      <c r="F205" s="184">
        <v>-880.74199999999996</v>
      </c>
    </row>
    <row r="206" spans="1:6" x14ac:dyDescent="0.3">
      <c r="A206" s="220" t="s">
        <v>389</v>
      </c>
      <c r="B206" s="184">
        <v>-8.0020000000000007</v>
      </c>
      <c r="C206" s="184">
        <v>0</v>
      </c>
      <c r="D206" s="184">
        <v>0</v>
      </c>
      <c r="E206" s="184">
        <v>-42.999000000000002</v>
      </c>
      <c r="F206" s="184">
        <v>-24.425999999999998</v>
      </c>
    </row>
    <row r="207" spans="1:6" x14ac:dyDescent="0.3">
      <c r="A207" s="220" t="s">
        <v>390</v>
      </c>
      <c r="B207" s="184">
        <v>-43.512</v>
      </c>
      <c r="C207" s="184">
        <v>-51.03</v>
      </c>
      <c r="D207" s="184">
        <v>-71.849999999999994</v>
      </c>
      <c r="E207" s="184">
        <v>-100.19199999999999</v>
      </c>
      <c r="F207" s="184">
        <v>-100.31</v>
      </c>
    </row>
    <row r="208" spans="1:6" x14ac:dyDescent="0.3">
      <c r="A208" s="220" t="s">
        <v>391</v>
      </c>
      <c r="B208" s="184" t="e">
        <v>#VALUE!</v>
      </c>
      <c r="C208" s="184">
        <v>214864.40100000001</v>
      </c>
      <c r="D208" s="184">
        <v>200643.58100000001</v>
      </c>
      <c r="E208" s="184">
        <v>801634.73400000005</v>
      </c>
      <c r="F208" s="184">
        <v>929027.79399999999</v>
      </c>
    </row>
    <row r="209" spans="1:6" x14ac:dyDescent="0.3">
      <c r="A209" s="220" t="s">
        <v>392</v>
      </c>
      <c r="B209" s="184" t="e">
        <v>#VALUE!</v>
      </c>
      <c r="C209" s="184">
        <v>654.29600000000005</v>
      </c>
      <c r="D209" s="184">
        <v>2447.4769999999999</v>
      </c>
      <c r="E209" s="184">
        <v>2151.6370000000002</v>
      </c>
      <c r="F209" s="184">
        <v>306.38400000000001</v>
      </c>
    </row>
    <row r="210" spans="1:6" x14ac:dyDescent="0.3">
      <c r="A210" s="220" t="s">
        <v>393</v>
      </c>
      <c r="B210" s="184" t="e">
        <v>#VALUE!</v>
      </c>
      <c r="C210" s="184">
        <v>116656.912</v>
      </c>
      <c r="D210" s="184">
        <v>81044.021999999997</v>
      </c>
      <c r="E210" s="184">
        <v>83320.732000000004</v>
      </c>
      <c r="F210" s="184">
        <v>111435.962</v>
      </c>
    </row>
    <row r="211" spans="1:6" x14ac:dyDescent="0.3">
      <c r="A211" s="220" t="s">
        <v>394</v>
      </c>
      <c r="B211" s="184" t="e">
        <v>#VALUE!</v>
      </c>
      <c r="C211" s="184">
        <v>53984.031999999999</v>
      </c>
      <c r="D211" s="184">
        <v>3470.2139999999999</v>
      </c>
      <c r="E211" s="184">
        <v>1027.038</v>
      </c>
      <c r="F211" s="184">
        <v>3375.6030000000001</v>
      </c>
    </row>
    <row r="212" spans="1:6" x14ac:dyDescent="0.3">
      <c r="A212" s="220" t="s">
        <v>395</v>
      </c>
      <c r="B212" s="184" t="e">
        <v>#VALUE!</v>
      </c>
      <c r="C212" s="184">
        <v>62672.88</v>
      </c>
      <c r="D212" s="184">
        <v>3466.3049999999998</v>
      </c>
      <c r="E212" s="184">
        <v>1028.925</v>
      </c>
      <c r="F212" s="184">
        <v>3798.6680000000001</v>
      </c>
    </row>
    <row r="213" spans="1:6" x14ac:dyDescent="0.3">
      <c r="A213" s="220" t="s">
        <v>396</v>
      </c>
      <c r="B213" s="184" t="e">
        <v>#VALUE!</v>
      </c>
      <c r="C213" s="184">
        <v>0</v>
      </c>
      <c r="D213" s="184">
        <v>74107.502999999997</v>
      </c>
      <c r="E213" s="184">
        <v>81264.769</v>
      </c>
      <c r="F213" s="184">
        <v>104261.69100000001</v>
      </c>
    </row>
    <row r="214" spans="1:6" x14ac:dyDescent="0.3">
      <c r="A214" s="220" t="s">
        <v>397</v>
      </c>
      <c r="B214" s="184" t="e">
        <v>#VALUE!</v>
      </c>
      <c r="C214" s="184">
        <v>45980.493999999999</v>
      </c>
      <c r="D214" s="184">
        <v>65378.199000000001</v>
      </c>
      <c r="E214" s="184">
        <v>84748.838000000003</v>
      </c>
      <c r="F214" s="184">
        <v>76546.157000000007</v>
      </c>
    </row>
    <row r="215" spans="1:6" x14ac:dyDescent="0.3">
      <c r="A215" s="220" t="s">
        <v>398</v>
      </c>
      <c r="B215" s="184" t="e">
        <v>#VALUE!</v>
      </c>
      <c r="C215" s="184">
        <v>50892.326999999997</v>
      </c>
      <c r="D215" s="184">
        <v>51576.892999999996</v>
      </c>
      <c r="E215" s="184">
        <v>48477.552000000003</v>
      </c>
      <c r="F215" s="184">
        <v>53731.43</v>
      </c>
    </row>
    <row r="216" spans="1:6" x14ac:dyDescent="0.3">
      <c r="A216" s="220" t="s">
        <v>399</v>
      </c>
      <c r="B216" s="184" t="e">
        <v>#VALUE!</v>
      </c>
      <c r="C216" s="184">
        <v>680.37199999999996</v>
      </c>
      <c r="D216" s="184">
        <v>196.99</v>
      </c>
      <c r="E216" s="184">
        <v>155.64699999999999</v>
      </c>
      <c r="F216" s="184">
        <v>41472.19</v>
      </c>
    </row>
    <row r="217" spans="1:6" x14ac:dyDescent="0.3">
      <c r="A217" s="220" t="s">
        <v>400</v>
      </c>
      <c r="B217" s="184" t="e">
        <v>#VALUE!</v>
      </c>
      <c r="C217" s="184">
        <v>0</v>
      </c>
      <c r="D217" s="184">
        <v>0</v>
      </c>
      <c r="E217" s="184">
        <v>1301.4680000000001</v>
      </c>
      <c r="F217" s="184">
        <v>2424.6120000000001</v>
      </c>
    </row>
    <row r="218" spans="1:6" x14ac:dyDescent="0.3">
      <c r="B218" s="4"/>
      <c r="C218" s="4"/>
      <c r="D218" s="4"/>
      <c r="E218" s="4"/>
      <c r="F218" s="4"/>
    </row>
    <row r="219" spans="1:6" x14ac:dyDescent="0.3">
      <c r="B219" s="4"/>
      <c r="C219" s="4"/>
      <c r="D219" s="4"/>
      <c r="E219" s="4"/>
      <c r="F219" s="4"/>
    </row>
    <row r="220" spans="1:6" x14ac:dyDescent="0.3">
      <c r="B220" s="4"/>
      <c r="C220" s="4"/>
      <c r="D220" s="4"/>
      <c r="E220" s="4"/>
      <c r="F220" s="4"/>
    </row>
    <row r="221" spans="1:6" x14ac:dyDescent="0.3">
      <c r="B221" s="4"/>
      <c r="C221" s="4"/>
      <c r="D221" s="4"/>
      <c r="E221" s="4"/>
      <c r="F221" s="4"/>
    </row>
    <row r="222" spans="1:6" x14ac:dyDescent="0.3">
      <c r="B222" s="4"/>
      <c r="C222" s="4"/>
      <c r="D222" s="4"/>
      <c r="E222" s="4"/>
      <c r="F222" s="4"/>
    </row>
    <row r="223" spans="1:6" x14ac:dyDescent="0.3">
      <c r="B223" s="4"/>
      <c r="C223" s="4"/>
      <c r="D223" s="4"/>
      <c r="E223" s="4"/>
      <c r="F223" s="4"/>
    </row>
    <row r="224" spans="1:6" x14ac:dyDescent="0.3">
      <c r="B224" s="4"/>
      <c r="C224" s="4"/>
      <c r="D224" s="4"/>
      <c r="E224" s="4"/>
      <c r="F224" s="4"/>
    </row>
    <row r="225" spans="2:6" x14ac:dyDescent="0.3">
      <c r="B225" s="4"/>
      <c r="C225" s="4"/>
      <c r="D225" s="4"/>
      <c r="E225" s="4"/>
      <c r="F225" s="4"/>
    </row>
    <row r="226" spans="2:6" x14ac:dyDescent="0.3">
      <c r="B226" s="4"/>
      <c r="C226" s="4"/>
      <c r="D226" s="4"/>
      <c r="E226" s="4"/>
      <c r="F226" s="4"/>
    </row>
    <row r="227" spans="2:6" x14ac:dyDescent="0.3">
      <c r="B227" s="4"/>
      <c r="C227" s="4"/>
      <c r="D227" s="4"/>
      <c r="E227" s="4"/>
      <c r="F227" s="4"/>
    </row>
    <row r="228" spans="2:6" x14ac:dyDescent="0.3">
      <c r="B228" s="4"/>
      <c r="C228" s="4"/>
      <c r="D228" s="4"/>
      <c r="E228" s="4"/>
      <c r="F228" s="4"/>
    </row>
    <row r="229" spans="2:6" x14ac:dyDescent="0.3">
      <c r="B229" s="4"/>
      <c r="C229" s="4"/>
      <c r="D229" s="4"/>
      <c r="E229" s="4"/>
      <c r="F229" s="4"/>
    </row>
    <row r="230" spans="2:6" x14ac:dyDescent="0.3">
      <c r="B230" s="4"/>
      <c r="C230" s="4"/>
      <c r="D230" s="4"/>
      <c r="E230" s="4"/>
      <c r="F230" s="4"/>
    </row>
    <row r="231" spans="2:6" x14ac:dyDescent="0.3">
      <c r="B231" s="4"/>
      <c r="C231" s="4"/>
      <c r="D231" s="4"/>
      <c r="E231" s="4"/>
      <c r="F231" s="4"/>
    </row>
    <row r="232" spans="2:6" x14ac:dyDescent="0.3">
      <c r="B232" s="4"/>
      <c r="C232" s="4"/>
      <c r="D232" s="4"/>
      <c r="E232" s="4"/>
      <c r="F232" s="4"/>
    </row>
    <row r="233" spans="2:6" x14ac:dyDescent="0.3">
      <c r="B233" s="4"/>
      <c r="C233" s="4"/>
      <c r="D233" s="4"/>
      <c r="E233" s="4"/>
      <c r="F233" s="4"/>
    </row>
    <row r="234" spans="2:6" x14ac:dyDescent="0.3">
      <c r="B234" s="4"/>
      <c r="C234" s="4"/>
      <c r="D234" s="4"/>
      <c r="E234" s="4"/>
      <c r="F234" s="4"/>
    </row>
    <row r="235" spans="2:6" x14ac:dyDescent="0.3">
      <c r="B235" s="4"/>
      <c r="C235" s="4"/>
      <c r="D235" s="4"/>
      <c r="E235" s="4"/>
      <c r="F235" s="4"/>
    </row>
    <row r="236" spans="2:6" x14ac:dyDescent="0.3">
      <c r="B236" s="4"/>
      <c r="C236" s="4"/>
      <c r="D236" s="4"/>
      <c r="E236" s="4"/>
      <c r="F236" s="4"/>
    </row>
    <row r="237" spans="2:6" x14ac:dyDescent="0.3">
      <c r="B237" s="4"/>
      <c r="C237" s="4"/>
      <c r="D237" s="4"/>
      <c r="E237" s="4"/>
      <c r="F237" s="4"/>
    </row>
    <row r="238" spans="2:6" x14ac:dyDescent="0.3">
      <c r="B238" s="4"/>
      <c r="C238" s="4"/>
      <c r="D238" s="4"/>
      <c r="E238" s="4"/>
      <c r="F238" s="4"/>
    </row>
    <row r="239" spans="2:6" x14ac:dyDescent="0.3">
      <c r="B239" s="4"/>
      <c r="C239" s="4"/>
      <c r="D239" s="4"/>
      <c r="E239" s="4"/>
      <c r="F239" s="4"/>
    </row>
    <row r="240" spans="2:6" x14ac:dyDescent="0.3">
      <c r="B240" s="4"/>
      <c r="C240" s="4"/>
      <c r="D240" s="4"/>
      <c r="E240" s="4"/>
      <c r="F240" s="4"/>
    </row>
    <row r="241" spans="2:6" x14ac:dyDescent="0.3">
      <c r="B241" s="4"/>
      <c r="C241" s="4"/>
      <c r="D241" s="4"/>
      <c r="E241" s="4"/>
      <c r="F241" s="4"/>
    </row>
    <row r="242" spans="2:6" x14ac:dyDescent="0.3">
      <c r="B242" s="4"/>
      <c r="C242" s="4"/>
      <c r="D242" s="4"/>
      <c r="E242" s="4"/>
      <c r="F242" s="4"/>
    </row>
    <row r="243" spans="2:6" x14ac:dyDescent="0.3">
      <c r="B243" s="4"/>
      <c r="C243" s="4"/>
      <c r="D243" s="4"/>
      <c r="E243" s="4"/>
      <c r="F243" s="4"/>
    </row>
    <row r="244" spans="2:6" x14ac:dyDescent="0.3">
      <c r="B244" s="4"/>
      <c r="C244" s="4"/>
      <c r="D244" s="4"/>
      <c r="E244" s="4"/>
      <c r="F244" s="4"/>
    </row>
    <row r="245" spans="2:6" x14ac:dyDescent="0.3">
      <c r="B245" s="4"/>
      <c r="C245" s="4"/>
      <c r="D245" s="4"/>
      <c r="E245" s="4"/>
      <c r="F245" s="4"/>
    </row>
    <row r="246" spans="2:6" x14ac:dyDescent="0.3">
      <c r="B246" s="4"/>
      <c r="C246" s="4"/>
      <c r="D246" s="4"/>
      <c r="E246" s="4"/>
      <c r="F246" s="4"/>
    </row>
    <row r="247" spans="2:6" x14ac:dyDescent="0.3">
      <c r="B247" s="4"/>
      <c r="C247" s="4"/>
      <c r="D247" s="4"/>
      <c r="E247" s="4"/>
      <c r="F247" s="4"/>
    </row>
    <row r="248" spans="2:6" x14ac:dyDescent="0.3">
      <c r="B248" s="4"/>
      <c r="C248" s="4"/>
      <c r="D248" s="4"/>
      <c r="E248" s="4"/>
      <c r="F248" s="4"/>
    </row>
    <row r="249" spans="2:6" x14ac:dyDescent="0.3">
      <c r="B249" s="4"/>
      <c r="C249" s="4"/>
      <c r="D249" s="4"/>
      <c r="E249" s="4"/>
      <c r="F249" s="4"/>
    </row>
    <row r="250" spans="2:6" x14ac:dyDescent="0.3">
      <c r="B250" s="4"/>
      <c r="C250" s="4"/>
      <c r="D250" s="4"/>
      <c r="E250" s="4"/>
      <c r="F250" s="4"/>
    </row>
    <row r="251" spans="2:6" x14ac:dyDescent="0.3">
      <c r="B251" s="4"/>
      <c r="C251" s="4"/>
      <c r="D251" s="4"/>
      <c r="E251" s="4"/>
      <c r="F251" s="4"/>
    </row>
    <row r="252" spans="2:6" x14ac:dyDescent="0.3">
      <c r="B252" s="4"/>
      <c r="C252" s="4"/>
      <c r="D252" s="4"/>
      <c r="E252" s="4"/>
      <c r="F252" s="4"/>
    </row>
    <row r="253" spans="2:6" x14ac:dyDescent="0.3">
      <c r="B253" s="4"/>
      <c r="C253" s="4"/>
      <c r="D253" s="4"/>
      <c r="E253" s="4"/>
      <c r="F253" s="4"/>
    </row>
    <row r="254" spans="2:6" x14ac:dyDescent="0.3">
      <c r="B254" s="4"/>
      <c r="C254" s="4"/>
      <c r="D254" s="4"/>
      <c r="E254" s="4"/>
      <c r="F254" s="4"/>
    </row>
    <row r="255" spans="2:6" x14ac:dyDescent="0.3">
      <c r="B255" s="4"/>
      <c r="C255" s="4"/>
      <c r="D255" s="4"/>
      <c r="E255" s="4"/>
      <c r="F255" s="4"/>
    </row>
    <row r="256" spans="2:6" x14ac:dyDescent="0.3">
      <c r="B256" s="4"/>
      <c r="C256" s="4"/>
      <c r="D256" s="4"/>
      <c r="E256" s="4"/>
      <c r="F256" s="4"/>
    </row>
    <row r="257" spans="2:6" x14ac:dyDescent="0.3">
      <c r="B257" s="4"/>
      <c r="C257" s="4"/>
      <c r="D257" s="4"/>
      <c r="E257" s="4"/>
      <c r="F257" s="4"/>
    </row>
    <row r="258" spans="2:6" x14ac:dyDescent="0.3">
      <c r="B258" s="4"/>
      <c r="C258" s="4"/>
      <c r="D258" s="4"/>
      <c r="E258" s="4"/>
      <c r="F258" s="4"/>
    </row>
    <row r="259" spans="2:6" x14ac:dyDescent="0.3">
      <c r="B259" s="4"/>
      <c r="C259" s="4"/>
      <c r="D259" s="4"/>
      <c r="E259" s="4"/>
      <c r="F259" s="4"/>
    </row>
    <row r="260" spans="2:6" x14ac:dyDescent="0.3">
      <c r="B260" s="4"/>
      <c r="C260" s="4"/>
      <c r="D260" s="4"/>
      <c r="E260" s="4"/>
      <c r="F260" s="4"/>
    </row>
    <row r="261" spans="2:6" x14ac:dyDescent="0.3">
      <c r="B261" s="4"/>
      <c r="C261" s="4"/>
      <c r="D261" s="4"/>
      <c r="E261" s="4"/>
      <c r="F261" s="4"/>
    </row>
    <row r="262" spans="2:6" x14ac:dyDescent="0.3">
      <c r="B262" s="4"/>
      <c r="C262" s="4"/>
      <c r="D262" s="4"/>
      <c r="E262" s="4"/>
      <c r="F262" s="4"/>
    </row>
    <row r="263" spans="2:6" x14ac:dyDescent="0.3">
      <c r="B263" s="4"/>
      <c r="C263" s="4"/>
      <c r="D263" s="4"/>
      <c r="E263" s="4"/>
      <c r="F263" s="4"/>
    </row>
    <row r="264" spans="2:6" x14ac:dyDescent="0.3">
      <c r="B264" s="4"/>
      <c r="C264" s="4"/>
      <c r="D264" s="4"/>
      <c r="E264" s="4"/>
      <c r="F264" s="4"/>
    </row>
    <row r="265" spans="2:6" x14ac:dyDescent="0.3">
      <c r="B265" s="4"/>
      <c r="C265" s="4"/>
      <c r="D265" s="4"/>
      <c r="E265" s="4"/>
      <c r="F265" s="4"/>
    </row>
    <row r="266" spans="2:6" x14ac:dyDescent="0.3">
      <c r="B266" s="4"/>
      <c r="C266" s="4"/>
      <c r="D266" s="4"/>
      <c r="E266" s="4"/>
      <c r="F266" s="4"/>
    </row>
    <row r="267" spans="2:6" x14ac:dyDescent="0.3">
      <c r="B267" s="4"/>
      <c r="C267" s="4"/>
      <c r="D267" s="4"/>
      <c r="E267" s="4"/>
      <c r="F267" s="4"/>
    </row>
    <row r="268" spans="2:6" x14ac:dyDescent="0.3">
      <c r="B268" s="4"/>
      <c r="C268" s="4"/>
      <c r="D268" s="4"/>
      <c r="E268" s="4"/>
      <c r="F268" s="4"/>
    </row>
    <row r="269" spans="2:6" x14ac:dyDescent="0.3">
      <c r="B269" s="4"/>
      <c r="C269" s="4"/>
      <c r="D269" s="4"/>
      <c r="E269" s="4"/>
      <c r="F269" s="4"/>
    </row>
    <row r="270" spans="2:6" x14ac:dyDescent="0.3">
      <c r="B270" s="4"/>
      <c r="C270" s="4"/>
      <c r="D270" s="4"/>
      <c r="E270" s="4"/>
      <c r="F270" s="4"/>
    </row>
    <row r="271" spans="2:6" x14ac:dyDescent="0.3">
      <c r="B271" s="4"/>
      <c r="C271" s="4"/>
      <c r="D271" s="4"/>
      <c r="E271" s="4"/>
      <c r="F271" s="4"/>
    </row>
    <row r="272" spans="2:6" x14ac:dyDescent="0.3">
      <c r="B272" s="4"/>
      <c r="C272" s="4"/>
      <c r="D272" s="4"/>
      <c r="E272" s="4"/>
      <c r="F272" s="4"/>
    </row>
    <row r="273" spans="2:6" x14ac:dyDescent="0.3">
      <c r="B273" s="4"/>
      <c r="C273" s="4"/>
      <c r="D273" s="4"/>
      <c r="E273" s="4"/>
      <c r="F273" s="4"/>
    </row>
    <row r="274" spans="2:6" x14ac:dyDescent="0.3">
      <c r="B274" s="4"/>
      <c r="C274" s="4"/>
      <c r="D274" s="4"/>
      <c r="E274" s="4"/>
      <c r="F274" s="4"/>
    </row>
    <row r="275" spans="2:6" x14ac:dyDescent="0.3">
      <c r="B275" s="4"/>
      <c r="C275" s="4"/>
      <c r="D275" s="4"/>
      <c r="E275" s="4"/>
      <c r="F275" s="4"/>
    </row>
    <row r="276" spans="2:6" x14ac:dyDescent="0.3">
      <c r="B276" s="4"/>
      <c r="C276" s="4"/>
      <c r="D276" s="4"/>
      <c r="E276" s="4"/>
      <c r="F276" s="4"/>
    </row>
    <row r="277" spans="2:6" x14ac:dyDescent="0.3">
      <c r="B277" s="4"/>
      <c r="C277" s="4"/>
      <c r="D277" s="4"/>
      <c r="E277" s="4"/>
      <c r="F277" s="4"/>
    </row>
    <row r="278" spans="2:6" x14ac:dyDescent="0.3">
      <c r="B278" s="4"/>
      <c r="C278" s="4"/>
      <c r="D278" s="4"/>
      <c r="E278" s="4"/>
      <c r="F278" s="4"/>
    </row>
    <row r="279" spans="2:6" x14ac:dyDescent="0.3">
      <c r="B279" s="4"/>
      <c r="C279" s="4"/>
      <c r="D279" s="4"/>
      <c r="E279" s="4"/>
      <c r="F279" s="4"/>
    </row>
    <row r="280" spans="2:6" x14ac:dyDescent="0.3">
      <c r="B280" s="4"/>
      <c r="C280" s="4"/>
      <c r="D280" s="4"/>
      <c r="E280" s="4"/>
      <c r="F280" s="4"/>
    </row>
    <row r="281" spans="2:6" x14ac:dyDescent="0.3">
      <c r="B281" s="4"/>
      <c r="C281" s="4"/>
      <c r="D281" s="4"/>
      <c r="E281" s="4"/>
      <c r="F281" s="4"/>
    </row>
    <row r="282" spans="2:6" x14ac:dyDescent="0.3">
      <c r="B282" s="4"/>
      <c r="C282" s="4"/>
      <c r="D282" s="4"/>
      <c r="E282" s="4"/>
      <c r="F282" s="4"/>
    </row>
    <row r="283" spans="2:6" x14ac:dyDescent="0.3">
      <c r="B283" s="4"/>
      <c r="C283" s="4"/>
      <c r="D283" s="4"/>
      <c r="E283" s="4"/>
      <c r="F283" s="4"/>
    </row>
    <row r="284" spans="2:6" x14ac:dyDescent="0.3">
      <c r="B284" s="4"/>
      <c r="C284" s="4"/>
      <c r="D284" s="4"/>
      <c r="E284" s="4"/>
      <c r="F284" s="4"/>
    </row>
    <row r="285" spans="2:6" x14ac:dyDescent="0.3">
      <c r="B285" s="4"/>
      <c r="C285" s="4"/>
      <c r="D285" s="4"/>
      <c r="E285" s="4"/>
      <c r="F285" s="4"/>
    </row>
    <row r="286" spans="2:6" x14ac:dyDescent="0.3">
      <c r="B286" s="4"/>
      <c r="C286" s="4"/>
      <c r="D286" s="4"/>
      <c r="E286" s="4"/>
      <c r="F286" s="4"/>
    </row>
    <row r="287" spans="2:6" x14ac:dyDescent="0.3">
      <c r="B287" s="4"/>
      <c r="C287" s="4"/>
      <c r="D287" s="4"/>
      <c r="E287" s="4"/>
      <c r="F287" s="4"/>
    </row>
    <row r="288" spans="2:6" x14ac:dyDescent="0.3">
      <c r="B288" s="4"/>
      <c r="C288" s="4"/>
      <c r="D288" s="4"/>
      <c r="E288" s="4"/>
      <c r="F288" s="4"/>
    </row>
    <row r="289" spans="2:6" x14ac:dyDescent="0.3">
      <c r="B289" s="4"/>
      <c r="C289" s="4"/>
      <c r="D289" s="4"/>
      <c r="E289" s="4"/>
      <c r="F289" s="4"/>
    </row>
    <row r="290" spans="2:6" x14ac:dyDescent="0.3">
      <c r="B290" s="4"/>
      <c r="C290" s="4"/>
      <c r="D290" s="4"/>
      <c r="E290" s="4"/>
      <c r="F290" s="4"/>
    </row>
    <row r="291" spans="2:6" x14ac:dyDescent="0.3">
      <c r="B291" s="4"/>
      <c r="C291" s="4"/>
      <c r="D291" s="4"/>
      <c r="E291" s="4"/>
      <c r="F291" s="4"/>
    </row>
    <row r="292" spans="2:6" x14ac:dyDescent="0.3">
      <c r="B292" s="4"/>
      <c r="C292" s="4"/>
      <c r="D292" s="4"/>
      <c r="E292" s="4"/>
      <c r="F292" s="4"/>
    </row>
    <row r="293" spans="2:6" x14ac:dyDescent="0.3">
      <c r="B293" s="4"/>
      <c r="C293" s="4"/>
      <c r="D293" s="4"/>
      <c r="E293" s="4"/>
      <c r="F293" s="4"/>
    </row>
    <row r="294" spans="2:6" x14ac:dyDescent="0.3">
      <c r="B294" s="4"/>
      <c r="C294" s="4"/>
      <c r="D294" s="4"/>
      <c r="E294" s="4"/>
      <c r="F294" s="4"/>
    </row>
    <row r="295" spans="2:6" x14ac:dyDescent="0.3">
      <c r="B295" s="4"/>
      <c r="C295" s="4"/>
      <c r="D295" s="4"/>
      <c r="E295" s="4"/>
      <c r="F295" s="4"/>
    </row>
    <row r="296" spans="2:6" x14ac:dyDescent="0.3">
      <c r="B296" s="4"/>
      <c r="C296" s="4"/>
      <c r="D296" s="4"/>
      <c r="E296" s="4"/>
      <c r="F296" s="4"/>
    </row>
    <row r="297" spans="2:6" x14ac:dyDescent="0.3">
      <c r="B297" s="4"/>
      <c r="C297" s="4"/>
      <c r="D297" s="4"/>
      <c r="E297" s="4"/>
      <c r="F297" s="4"/>
    </row>
    <row r="298" spans="2:6" x14ac:dyDescent="0.3">
      <c r="B298" s="4"/>
      <c r="C298" s="4"/>
      <c r="D298" s="4"/>
      <c r="E298" s="4"/>
      <c r="F298" s="4"/>
    </row>
    <row r="299" spans="2:6" x14ac:dyDescent="0.3">
      <c r="B299" s="4"/>
      <c r="C299" s="4"/>
      <c r="D299" s="4"/>
      <c r="E299" s="4"/>
      <c r="F299" s="4"/>
    </row>
    <row r="300" spans="2:6" x14ac:dyDescent="0.3">
      <c r="B300" s="4"/>
      <c r="C300" s="4"/>
      <c r="D300" s="4"/>
      <c r="E300" s="4"/>
      <c r="F300" s="4"/>
    </row>
    <row r="301" spans="2:6" x14ac:dyDescent="0.3">
      <c r="B301" s="4"/>
      <c r="C301" s="4"/>
      <c r="D301" s="4"/>
      <c r="E301" s="4"/>
      <c r="F301" s="4"/>
    </row>
    <row r="302" spans="2:6" x14ac:dyDescent="0.3">
      <c r="B302" s="4"/>
      <c r="C302" s="4"/>
      <c r="D302" s="4"/>
      <c r="E302" s="4"/>
      <c r="F302" s="4"/>
    </row>
    <row r="303" spans="2:6" x14ac:dyDescent="0.3">
      <c r="B303" s="4"/>
      <c r="C303" s="4"/>
      <c r="D303" s="4"/>
      <c r="E303" s="4"/>
      <c r="F303" s="4"/>
    </row>
    <row r="304" spans="2:6" x14ac:dyDescent="0.3">
      <c r="B304" s="4"/>
      <c r="C304" s="4"/>
      <c r="D304" s="4"/>
      <c r="E304" s="4"/>
      <c r="F304" s="4"/>
    </row>
    <row r="305" spans="2:6" x14ac:dyDescent="0.3">
      <c r="B305" s="4"/>
      <c r="C305" s="4"/>
      <c r="D305" s="4"/>
      <c r="E305" s="4"/>
      <c r="F305" s="4"/>
    </row>
    <row r="306" spans="2:6" x14ac:dyDescent="0.3">
      <c r="B306" s="4"/>
      <c r="C306" s="4"/>
      <c r="D306" s="4"/>
      <c r="E306" s="4"/>
      <c r="F306" s="4"/>
    </row>
    <row r="307" spans="2:6" x14ac:dyDescent="0.3">
      <c r="B307" s="4"/>
      <c r="C307" s="4"/>
      <c r="D307" s="4"/>
      <c r="E307" s="4"/>
      <c r="F307" s="4"/>
    </row>
    <row r="308" spans="2:6" x14ac:dyDescent="0.3">
      <c r="B308" s="4"/>
      <c r="C308" s="4"/>
      <c r="D308" s="4"/>
      <c r="E308" s="4"/>
      <c r="F308" s="4"/>
    </row>
    <row r="309" spans="2:6" x14ac:dyDescent="0.3">
      <c r="B309" s="4"/>
      <c r="C309" s="4"/>
      <c r="D309" s="4"/>
      <c r="E309" s="4"/>
      <c r="F309" s="4"/>
    </row>
    <row r="310" spans="2:6" x14ac:dyDescent="0.3">
      <c r="B310" s="4"/>
      <c r="C310" s="4"/>
      <c r="D310" s="4"/>
      <c r="E310" s="4"/>
      <c r="F310" s="4"/>
    </row>
    <row r="311" spans="2:6" x14ac:dyDescent="0.3">
      <c r="B311" s="4"/>
      <c r="C311" s="4"/>
      <c r="D311" s="4"/>
      <c r="E311" s="4"/>
      <c r="F311" s="4"/>
    </row>
    <row r="312" spans="2:6" x14ac:dyDescent="0.3">
      <c r="B312" s="4"/>
      <c r="C312" s="4"/>
      <c r="D312" s="4"/>
      <c r="E312" s="4"/>
      <c r="F312" s="4"/>
    </row>
    <row r="313" spans="2:6" x14ac:dyDescent="0.3">
      <c r="B313" s="4"/>
      <c r="C313" s="4"/>
      <c r="D313" s="4"/>
      <c r="E313" s="4"/>
      <c r="F313" s="4"/>
    </row>
    <row r="314" spans="2:6" x14ac:dyDescent="0.3">
      <c r="B314" s="4"/>
      <c r="C314" s="4"/>
      <c r="D314" s="4"/>
      <c r="E314" s="4"/>
      <c r="F314" s="4"/>
    </row>
    <row r="315" spans="2:6" x14ac:dyDescent="0.3">
      <c r="B315" s="4"/>
      <c r="C315" s="4"/>
      <c r="D315" s="4"/>
      <c r="E315" s="4"/>
      <c r="F315" s="4"/>
    </row>
    <row r="316" spans="2:6" x14ac:dyDescent="0.3">
      <c r="B316" s="4"/>
      <c r="C316" s="4"/>
      <c r="D316" s="4"/>
      <c r="E316" s="4"/>
      <c r="F316" s="4"/>
    </row>
    <row r="317" spans="2:6" x14ac:dyDescent="0.3">
      <c r="B317" s="4"/>
      <c r="C317" s="4"/>
      <c r="D317" s="4"/>
      <c r="E317" s="4"/>
      <c r="F317" s="4"/>
    </row>
    <row r="318" spans="2:6" x14ac:dyDescent="0.3">
      <c r="B318" s="4"/>
      <c r="C318" s="4"/>
      <c r="D318" s="4"/>
      <c r="E318" s="4"/>
      <c r="F318" s="4"/>
    </row>
    <row r="319" spans="2:6" x14ac:dyDescent="0.3">
      <c r="B319" s="4"/>
      <c r="C319" s="4"/>
      <c r="D319" s="4"/>
      <c r="E319" s="4"/>
      <c r="F319" s="4"/>
    </row>
    <row r="320" spans="2:6" x14ac:dyDescent="0.3">
      <c r="B320" s="4"/>
      <c r="C320" s="4"/>
      <c r="D320" s="4"/>
      <c r="E320" s="4"/>
      <c r="F320" s="4"/>
    </row>
    <row r="321" spans="2:6" x14ac:dyDescent="0.3">
      <c r="B321" s="4"/>
      <c r="C321" s="4"/>
      <c r="D321" s="4"/>
      <c r="E321" s="4"/>
      <c r="F321" s="4"/>
    </row>
    <row r="322" spans="2:6" x14ac:dyDescent="0.3">
      <c r="B322" s="4"/>
      <c r="C322" s="4"/>
      <c r="D322" s="4"/>
      <c r="E322" s="4"/>
      <c r="F322" s="4"/>
    </row>
    <row r="323" spans="2:6" x14ac:dyDescent="0.3">
      <c r="B323" s="4"/>
      <c r="C323" s="4"/>
      <c r="D323" s="4"/>
      <c r="E323" s="4"/>
      <c r="F323" s="4"/>
    </row>
    <row r="324" spans="2:6" x14ac:dyDescent="0.3">
      <c r="B324" s="4"/>
      <c r="C324" s="4"/>
      <c r="D324" s="4"/>
      <c r="E324" s="4"/>
      <c r="F324" s="4"/>
    </row>
    <row r="325" spans="2:6" x14ac:dyDescent="0.3">
      <c r="B325" s="4"/>
      <c r="C325" s="4"/>
      <c r="D325" s="4"/>
      <c r="E325" s="4"/>
      <c r="F325" s="4"/>
    </row>
    <row r="326" spans="2:6" x14ac:dyDescent="0.3">
      <c r="B326" s="4"/>
      <c r="C326" s="4"/>
      <c r="D326" s="4"/>
      <c r="E326" s="4"/>
      <c r="F326" s="4"/>
    </row>
    <row r="327" spans="2:6" x14ac:dyDescent="0.3">
      <c r="B327" s="4"/>
      <c r="C327" s="4"/>
      <c r="D327" s="4"/>
      <c r="E327" s="4"/>
      <c r="F327" s="4"/>
    </row>
    <row r="328" spans="2:6" x14ac:dyDescent="0.3">
      <c r="B328" s="4"/>
      <c r="C328" s="4"/>
      <c r="D328" s="4"/>
      <c r="E328" s="4"/>
      <c r="F328" s="4"/>
    </row>
    <row r="329" spans="2:6" x14ac:dyDescent="0.3">
      <c r="B329" s="4"/>
      <c r="C329" s="4"/>
      <c r="D329" s="4"/>
      <c r="E329" s="4"/>
      <c r="F329" s="4"/>
    </row>
    <row r="330" spans="2:6" x14ac:dyDescent="0.3">
      <c r="B330" s="4"/>
      <c r="C330" s="4"/>
      <c r="D330" s="4"/>
      <c r="E330" s="4"/>
      <c r="F330" s="4"/>
    </row>
    <row r="331" spans="2:6" x14ac:dyDescent="0.3">
      <c r="B331" s="4"/>
      <c r="C331" s="4"/>
      <c r="D331" s="4"/>
      <c r="E331" s="4"/>
      <c r="F331" s="4"/>
    </row>
    <row r="332" spans="2:6" x14ac:dyDescent="0.3">
      <c r="B332" s="4"/>
      <c r="C332" s="4"/>
      <c r="D332" s="4"/>
      <c r="E332" s="4"/>
      <c r="F332" s="4"/>
    </row>
    <row r="333" spans="2:6" x14ac:dyDescent="0.3">
      <c r="B333" s="4"/>
      <c r="C333" s="4"/>
      <c r="D333" s="4"/>
      <c r="E333" s="4"/>
      <c r="F333" s="4"/>
    </row>
    <row r="334" spans="2:6" x14ac:dyDescent="0.3">
      <c r="B334" s="4"/>
      <c r="C334" s="4"/>
      <c r="D334" s="4"/>
      <c r="E334" s="4"/>
      <c r="F334" s="4"/>
    </row>
    <row r="335" spans="2:6" x14ac:dyDescent="0.3">
      <c r="B335" s="4"/>
      <c r="C335" s="4"/>
      <c r="D335" s="4"/>
      <c r="E335" s="4"/>
      <c r="F335" s="4"/>
    </row>
    <row r="336" spans="2:6" x14ac:dyDescent="0.3">
      <c r="B336" s="4"/>
      <c r="C336" s="4"/>
      <c r="D336" s="4"/>
      <c r="E336" s="4"/>
      <c r="F336" s="4"/>
    </row>
    <row r="337" spans="2:6" x14ac:dyDescent="0.3">
      <c r="B337" s="4"/>
      <c r="C337" s="4"/>
      <c r="D337" s="4"/>
      <c r="E337" s="4"/>
      <c r="F337" s="4"/>
    </row>
    <row r="338" spans="2:6" x14ac:dyDescent="0.3">
      <c r="B338" s="4"/>
      <c r="C338" s="4"/>
      <c r="D338" s="4"/>
      <c r="E338" s="4"/>
      <c r="F338" s="4"/>
    </row>
    <row r="339" spans="2:6" x14ac:dyDescent="0.3">
      <c r="B339" s="4"/>
      <c r="C339" s="4"/>
      <c r="D339" s="4"/>
      <c r="E339" s="4"/>
      <c r="F339" s="4"/>
    </row>
    <row r="340" spans="2:6" x14ac:dyDescent="0.3">
      <c r="B340" s="4"/>
      <c r="C340" s="4"/>
      <c r="D340" s="4"/>
      <c r="E340" s="4"/>
      <c r="F340" s="4"/>
    </row>
    <row r="341" spans="2:6" x14ac:dyDescent="0.3">
      <c r="B341" s="4"/>
      <c r="C341" s="4"/>
      <c r="D341" s="4"/>
      <c r="E341" s="4"/>
      <c r="F341" s="4"/>
    </row>
    <row r="342" spans="2:6" x14ac:dyDescent="0.3">
      <c r="B342" s="4"/>
      <c r="C342" s="4"/>
      <c r="D342" s="4"/>
      <c r="E342" s="4"/>
      <c r="F342" s="4"/>
    </row>
    <row r="343" spans="2:6" x14ac:dyDescent="0.3">
      <c r="B343" s="4"/>
      <c r="C343" s="4"/>
      <c r="D343" s="4"/>
      <c r="E343" s="4"/>
      <c r="F343" s="4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9EF4-82D2-4DD2-8026-EBFD0E4AA695}">
  <sheetPr>
    <tabColor theme="8" tint="0.79998168889431442"/>
  </sheetPr>
  <dimension ref="B1:G23"/>
  <sheetViews>
    <sheetView showGridLines="0" topLeftCell="A7" workbookViewId="0">
      <selection activeCell="C15" sqref="C15"/>
    </sheetView>
  </sheetViews>
  <sheetFormatPr defaultColWidth="8.796875" defaultRowHeight="39.6" customHeight="1" x14ac:dyDescent="0.3"/>
  <cols>
    <col min="1" max="1" width="8.796875" style="16"/>
    <col min="2" max="2" width="51.09765625" style="16" bestFit="1" customWidth="1"/>
    <col min="3" max="6" width="16.19921875" style="17" customWidth="1"/>
    <col min="7" max="7" width="17.296875" style="17" customWidth="1"/>
    <col min="8" max="16384" width="8.796875" style="16"/>
  </cols>
  <sheetData>
    <row r="1" spans="2:7" s="14" customFormat="1" ht="39.6" customHeight="1" x14ac:dyDescent="0.3">
      <c r="B1" s="14" t="s">
        <v>8</v>
      </c>
      <c r="C1" s="15"/>
      <c r="D1" s="15"/>
      <c r="E1" s="15"/>
      <c r="F1" s="15"/>
      <c r="G1" s="15"/>
    </row>
    <row r="2" spans="2:7" ht="16.8" customHeight="1" x14ac:dyDescent="0.3"/>
    <row r="3" spans="2:7" ht="15.6" x14ac:dyDescent="0.3">
      <c r="B3" s="18"/>
      <c r="C3" s="17">
        <v>2020</v>
      </c>
      <c r="D3" s="17">
        <v>2021</v>
      </c>
      <c r="E3" s="17">
        <v>2022</v>
      </c>
      <c r="F3" s="17">
        <v>2023</v>
      </c>
    </row>
    <row r="4" spans="2:7" ht="15.6" x14ac:dyDescent="0.3">
      <c r="B4" s="19" t="s">
        <v>9</v>
      </c>
      <c r="C4" s="20">
        <f>'Kết quả kinh doanh '!C26/'Kết quả kinh doanh '!B26-1</f>
        <v>-2.8862158390688952E-3</v>
      </c>
      <c r="D4" s="20">
        <f>'Kết quả kinh doanh '!D26/'Kết quả kinh doanh '!C26-1</f>
        <v>0.18765860723481209</v>
      </c>
      <c r="E4" s="20">
        <f>'Kết quả kinh doanh '!E26/'Kết quả kinh doanh '!D26-1</f>
        <v>0.36373547709118625</v>
      </c>
      <c r="F4" s="20">
        <f>'Kết quả kinh doanh '!F26/'Kết quả kinh doanh '!E26-1</f>
        <v>0.10479589361348118</v>
      </c>
    </row>
    <row r="5" spans="2:7" ht="15.6" x14ac:dyDescent="0.3">
      <c r="B5" s="18" t="s">
        <v>10</v>
      </c>
      <c r="C5" s="21">
        <f>'Cân đối kế toán '!C20/'Cân đối kế toán '!B20-1</f>
        <v>0.13289614856561993</v>
      </c>
      <c r="D5" s="21">
        <f>'Cân đối kế toán '!D20/'Cân đối kế toán '!C20-1</f>
        <v>0.1392108354673296</v>
      </c>
      <c r="E5" s="21">
        <f>'Cân đối kế toán '!E20/'Cân đối kế toán '!D20-1</f>
        <v>0.19845704741769388</v>
      </c>
      <c r="F5" s="21">
        <f>'Cân đối kế toán '!F20/'Cân đối kế toán '!E20-1</f>
        <v>0.10835484050391853</v>
      </c>
    </row>
    <row r="6" spans="2:7" ht="15.6" x14ac:dyDescent="0.3">
      <c r="B6" s="18" t="s">
        <v>11</v>
      </c>
      <c r="C6" s="22">
        <f>'Cân đối kế toán '!C9/'Cân đối kế toán '!C66</f>
        <v>14.094589382925522</v>
      </c>
      <c r="D6" s="22">
        <f>'Cân đối kế toán '!D9/'Cân đối kế toán '!D66</f>
        <v>12.964684621818266</v>
      </c>
      <c r="E6" s="22">
        <f>'Cân đối kế toán '!E9/'Cân đối kế toán '!E66</f>
        <v>13.371673572444056</v>
      </c>
      <c r="F6" s="22">
        <f>'Cân đối kế toán '!F9/'Cân đối kế toán '!F66</f>
        <v>11.148315111762392</v>
      </c>
    </row>
    <row r="7" spans="2:7" ht="15.6" x14ac:dyDescent="0.3">
      <c r="B7" s="18" t="s">
        <v>12</v>
      </c>
      <c r="C7" s="23">
        <f>SUM('Thuyết minh'!C32:C34)/'Thuyết minh'!C29</f>
        <v>6.227247084607675E-3</v>
      </c>
      <c r="D7" s="23">
        <f>SUM('Thuyết minh'!D32:D34)/'Thuyết minh'!D29</f>
        <v>6.3711978003683587E-3</v>
      </c>
      <c r="E7" s="23">
        <f>SUM('Thuyết minh'!E32:E34)/'Thuyết minh'!E29</f>
        <v>6.8296668424206895E-3</v>
      </c>
      <c r="F7" s="23">
        <f>SUM('Thuyết minh'!F32:F34)/'Thuyết minh'!F29</f>
        <v>9.8042890423280342E-3</v>
      </c>
    </row>
    <row r="8" spans="2:7" ht="15.6" x14ac:dyDescent="0.3">
      <c r="B8" s="18" t="s">
        <v>13</v>
      </c>
      <c r="C8" s="21">
        <f>('Thuyết minh'!C29-'Thuyết minh'!C30)/'Thuyết minh'!C29</f>
        <v>1.1412095697298707E-2</v>
      </c>
      <c r="D8" s="21">
        <f>('Thuyết minh'!D29-'Thuyết minh'!D30)/'Thuyết minh'!D29</f>
        <v>1.0011929690904862E-2</v>
      </c>
      <c r="E8" s="21">
        <f>('Thuyết minh'!E29-'Thuyết minh'!E30)/'Thuyết minh'!E29</f>
        <v>1.0395712911807528E-2</v>
      </c>
      <c r="F8" s="21">
        <f>('Thuyết minh'!F29-'Thuyết minh'!F30)/'Thuyết minh'!F29</f>
        <v>1.4180768384957378E-2</v>
      </c>
    </row>
    <row r="9" spans="2:7" ht="15.6" x14ac:dyDescent="0.3">
      <c r="B9" s="18" t="s">
        <v>14</v>
      </c>
      <c r="C9" s="24">
        <f>-'Cân đối kế toán '!C22/SUM('Thuyết minh'!C32:C34)</f>
        <v>3.6796137501962405</v>
      </c>
      <c r="D9" s="24">
        <f>-'Cân đối kế toán '!D22/SUM('Thuyết minh'!D32:D34)</f>
        <v>4.2436080408708987</v>
      </c>
      <c r="E9" s="24">
        <f>-'Cân đối kế toán '!E22/SUM('Thuyết minh'!E32:E34)</f>
        <v>3.1685529461904931</v>
      </c>
      <c r="F9" s="24">
        <f>-'Cân đối kế toán '!F22/SUM('Thuyết minh'!F32:F34)</f>
        <v>2.3029916498373701</v>
      </c>
    </row>
    <row r="10" spans="2:7" ht="15.6" x14ac:dyDescent="0.3">
      <c r="B10" s="18" t="s">
        <v>15</v>
      </c>
      <c r="C10" s="21">
        <f>-'Cân đối kế toán '!C22/'Cân đối kế toán '!C21</f>
        <v>2.2913863998391851E-2</v>
      </c>
      <c r="D10" s="21">
        <f>-'Cân đối kế toán '!D22/'Cân đối kế toán '!D21</f>
        <v>2.7036866215622152E-2</v>
      </c>
      <c r="E10" s="21">
        <f>-'Cân đối kế toán '!E22/'Cân đối kế toán '!E21</f>
        <v>2.1640160995051599E-2</v>
      </c>
      <c r="F10" s="21">
        <f>-'Cân đối kế toán '!F22/'Cân đối kế toán '!F21</f>
        <v>2.2579195797073487E-2</v>
      </c>
    </row>
    <row r="11" spans="2:7" ht="15.6" x14ac:dyDescent="0.3">
      <c r="B11" s="18" t="s">
        <v>16</v>
      </c>
      <c r="C11" s="24">
        <f>-'Kết quả kinh doanh '!C19/'Kết quả kinh doanh '!C18</f>
        <v>0.32689399434081495</v>
      </c>
      <c r="D11" s="24">
        <f>-'Kết quả kinh doanh '!D19/'Kết quả kinh doanh '!D18</f>
        <v>0.30982161929902535</v>
      </c>
      <c r="E11" s="24">
        <f>-'Kết quả kinh doanh '!E19/'Kết quả kinh doanh '!E18</f>
        <v>0.31212737204294166</v>
      </c>
      <c r="F11" s="24">
        <f>-'Kết quả kinh doanh '!F19/'Kết quả kinh doanh '!F18</f>
        <v>0.3235938971932652</v>
      </c>
    </row>
    <row r="12" spans="2:7" ht="15.6" x14ac:dyDescent="0.3">
      <c r="B12" s="18" t="s">
        <v>17</v>
      </c>
      <c r="C12" s="21">
        <f>-'Thuyết minh'!C140/'Cân đối kế toán '!C56</f>
        <v>3.1895384434957243E-2</v>
      </c>
      <c r="D12" s="21">
        <f>-'Thuyết minh'!D140/'Cân đối kế toán '!D56</f>
        <v>2.4970305544863475E-2</v>
      </c>
      <c r="E12" s="21">
        <f>-'Thuyết minh'!E140/'Cân đối kế toán '!E56</f>
        <v>2.8039490194681424E-2</v>
      </c>
      <c r="F12" s="21">
        <f>-'Thuyết minh'!F140/'Cân đối kế toán '!F56</f>
        <v>3.9049582495846231E-2</v>
      </c>
    </row>
    <row r="13" spans="2:7" ht="15.6" x14ac:dyDescent="0.3">
      <c r="B13" s="18" t="s">
        <v>18</v>
      </c>
      <c r="C13" s="21">
        <f>-'Kết quả kinh doanh '!C19/'Cân đối kế toán '!C9</f>
        <v>1.2093112723610256E-2</v>
      </c>
      <c r="D13" s="21">
        <f>-'Kết quả kinh doanh '!D19/'Cân đối kế toán '!D9</f>
        <v>1.2422795324866218E-2</v>
      </c>
      <c r="E13" s="21">
        <f>-'Kết quả kinh doanh '!E19/'Cân đối kế toán '!E9</f>
        <v>1.1715919213532655E-2</v>
      </c>
      <c r="F13" s="21">
        <f>-'Kết quả kinh doanh '!F19/'Cân đối kế toán '!F9</f>
        <v>1.1912775481185692E-2</v>
      </c>
    </row>
    <row r="14" spans="2:7" ht="15.6" x14ac:dyDescent="0.3">
      <c r="B14" s="18" t="s">
        <v>19</v>
      </c>
      <c r="C14" s="21">
        <f>-'Thuyết minh'!C140/((('Cân đối kế toán '!C52+'Cân đối kế toán '!C53+'Cân đối kế toán '!C56+'Cân đối kế toán '!C59)+('Cân đối kế toán '!B52+'Cân đối kế toán '!B53+'Cân đối kế toán '!B56+'Cân đối kế toán '!B59))/2)</f>
        <v>2.8453433341699294E-2</v>
      </c>
      <c r="D14" s="21">
        <f>-'Thuyết minh'!D140/((('Cân đối kế toán '!D52+'Cân đối kế toán '!D53+'Cân đối kế toán '!D56+'Cân đối kế toán '!D59)+('Cân đối kế toán '!C52+'Cân đối kế toán '!C53+'Cân đối kế toán '!C56+'Cân đối kế toán '!C59))/2)</f>
        <v>2.2954483011531728E-2</v>
      </c>
      <c r="E14" s="21">
        <f>-'Thuyết minh'!E140/((('Cân đối kế toán '!E52+'Cân đối kế toán '!E53+'Cân đối kế toán '!E56+'Cân đối kế toán '!E59)+('Cân đối kế toán '!D52+'Cân đối kế toán '!D53+'Cân đối kế toán '!D56+'Cân đối kế toán '!D59))/2)</f>
        <v>2.4548754022003218E-2</v>
      </c>
      <c r="F14" s="21">
        <f>-'Thuyết minh'!F140/((('Cân đối kế toán '!F52+'Cân đối kế toán '!F53+'Cân đối kế toán '!F56+'Cân đối kế toán '!F59)+('Cân đối kế toán '!E52+'Cân đối kế toán '!E53+'Cân đối kế toán '!E56+'Cân đối kế toán '!E59))/2)</f>
        <v>3.4066019868598058E-2</v>
      </c>
    </row>
    <row r="15" spans="2:7" ht="15.6" x14ac:dyDescent="0.3">
      <c r="B15" s="18" t="s">
        <v>20</v>
      </c>
      <c r="C15" s="21">
        <f>'Kết quả kinh doanh '!C5/((('Cân đối kế toán '!C11+'Cân đối kế toán '!C12+'Cân đối kế toán '!C17+'Cân đối kế toán '!C21+'Cân đối kế toán '!C23)+('Cân đối kế toán '!B11+'Cân đối kế toán '!B12+'Cân đối kế toán '!B17+'Cân đối kế toán '!B21+'Cân đối kế toán '!B23))/2)</f>
        <v>5.5628880466611685E-2</v>
      </c>
      <c r="D15" s="21">
        <f>'Kết quả kinh doanh '!D5/((('Cân đối kế toán '!D11+'Cân đối kế toán '!D12+'Cân đối kế toán '!D17+'Cân đối kế toán '!D21+'Cân đối kế toán '!D23)+('Cân đối kế toán '!C11+'Cân đối kế toán '!C12+'Cân đối kế toán '!C17+'Cân đối kế toán '!C21+'Cân đối kế toán '!C23))/2)</f>
        <v>5.2753106001297373E-2</v>
      </c>
      <c r="E15" s="21">
        <f>'Kết quả kinh doanh '!E5/((('Cân đối kế toán '!E11+'Cân đối kế toán '!E12+'Cân đối kế toán '!E17+'Cân đối kế toán '!E21+'Cân đối kế toán '!E23)+('Cân đối kế toán '!D11+'Cân đối kế toán '!D12+'Cân đối kế toán '!D17+'Cân đối kế toán '!D21+'Cân đối kế toán '!D23))/2)</f>
        <v>5.62764284533495E-2</v>
      </c>
      <c r="F15" s="21">
        <f>'Kết quả kinh doanh '!F5/((('Cân đối kế toán '!F11+'Cân đối kế toán '!F12+'Cân đối kế toán '!F17+'Cân đối kế toán '!F21+'Cân đối kế toán '!F23)+('Cân đối kế toán '!E11+'Cân đối kế toán '!E12+'Cân đối kế toán '!E17+'Cân đối kế toán '!E21+'Cân đối kế toán '!E23))/2)</f>
        <v>6.0705340302042415E-2</v>
      </c>
      <c r="G15" s="21"/>
    </row>
    <row r="16" spans="2:7" ht="15.6" x14ac:dyDescent="0.3">
      <c r="B16" s="18" t="s">
        <v>21</v>
      </c>
      <c r="C16" s="21">
        <f>'Kết quả kinh doanh '!C7/('Cân đối kế toán '!C11+'Cân đối kế toán '!C12+'Cân đối kế toán '!C17+'Cân đối kế toán '!C21+'Cân đối kế toán '!C23)</f>
        <v>2.7915764016528382E-2</v>
      </c>
      <c r="D16" s="21">
        <f>'Kết quả kinh doanh '!D7/('Cân đối kế toán '!D11+'Cân đối kế toán '!D12+'Cân đối kế toán '!D17+'Cân đối kế toán '!D21+'Cân đối kế toán '!D23)</f>
        <v>3.0669944484866405E-2</v>
      </c>
      <c r="E16" s="21">
        <f>'Kết quả kinh doanh '!E7/('Cân đối kế toán '!E11+'Cân đối kế toán '!E12+'Cân đối kế toán '!E17+'Cân đối kế toán '!E21+'Cân đối kế toán '!E23)</f>
        <v>3.0444368099212846E-2</v>
      </c>
      <c r="F16" s="21">
        <f>'Kết quả kinh doanh '!F7/('Cân đối kế toán '!F11+'Cân đối kế toán '!F12+'Cân đối kế toán '!F17+'Cân đối kế toán '!F21+'Cân đối kế toán '!F23)</f>
        <v>2.9572121880457113E-2</v>
      </c>
    </row>
    <row r="17" spans="2:6" ht="15.6" x14ac:dyDescent="0.3">
      <c r="B17" s="18" t="s">
        <v>22</v>
      </c>
      <c r="C17" s="24">
        <f>'Kết quả kinh doanh '!C8/'Kết quả kinh doanh '!C18</f>
        <v>0.21580951137447205</v>
      </c>
      <c r="D17" s="24">
        <f>'Kết quả kinh doanh '!D8/'Kết quả kinh doanh '!D18</f>
        <v>0.19897401025665362</v>
      </c>
      <c r="E17" s="24">
        <f>'Kết quả kinh doanh '!E8/'Kết quả kinh doanh '!E18</f>
        <v>0.18249841615699208</v>
      </c>
      <c r="F17" s="24">
        <f>'Kết quả kinh doanh '!F8/'Kết quả kinh doanh '!F18</f>
        <v>0.18653415857564989</v>
      </c>
    </row>
    <row r="18" spans="2:6" ht="15.6" x14ac:dyDescent="0.3">
      <c r="B18" s="18" t="s">
        <v>27</v>
      </c>
      <c r="C18" s="21">
        <f>'Kết quả kinh doanh '!C26/AVERAGE('Cân đối kế toán '!B9:C9)</f>
        <v>1.449422358968782E-2</v>
      </c>
      <c r="D18" s="21">
        <f>'Kết quả kinh doanh '!D26/AVERAGE('Cân đối kế toán '!C9:D9)</f>
        <v>1.600862749932027E-2</v>
      </c>
      <c r="E18" s="21">
        <f>'Kết quả kinh doanh '!E26/AVERAGE('Cân đối kế toán '!D9:E9)</f>
        <v>1.8534407593852307E-2</v>
      </c>
      <c r="F18" s="21">
        <f>'Kết quả kinh doanh '!F26/AVERAGE('Cân đối kế toán '!E9:F9)</f>
        <v>1.8095030021401531E-2</v>
      </c>
    </row>
    <row r="19" spans="2:6" ht="15.6" x14ac:dyDescent="0.3">
      <c r="B19" s="18" t="s">
        <v>23</v>
      </c>
      <c r="C19" s="21">
        <f>'Kết quả kinh doanh '!C26/AVERAGE('Cân đối kế toán '!B66:C66)</f>
        <v>0.21114108193316986</v>
      </c>
      <c r="D19" s="21">
        <f>'Kết quả kinh doanh '!D26/AVERAGE('Cân đối kế toán '!C66:D66)</f>
        <v>0.21592233567353861</v>
      </c>
      <c r="E19" s="21">
        <f>'Kết quả kinh doanh '!E26/AVERAGE('Cân đối kế toán '!D66:E66)</f>
        <v>0.24447318892894634</v>
      </c>
      <c r="F19" s="21">
        <f>'Kết quả kinh doanh '!F26/AVERAGE('Cân đối kế toán '!E66:F66)</f>
        <v>0.21988016573646976</v>
      </c>
    </row>
    <row r="20" spans="2:6" ht="15.6" x14ac:dyDescent="0.3">
      <c r="B20" s="18" t="s">
        <v>24</v>
      </c>
      <c r="C20" s="21">
        <f>'Thuyết minh'!C115/'Thuyết minh'!C114</f>
        <v>0.29747325470434394</v>
      </c>
      <c r="D20" s="21">
        <f>'Thuyết minh'!D115/'Thuyết minh'!D114</f>
        <v>0.32338707816858958</v>
      </c>
      <c r="E20" s="21">
        <f>'Thuyết minh'!E115/'Thuyết minh'!E114</f>
        <v>0.32337273712829029</v>
      </c>
      <c r="F20" s="21">
        <f>'Thuyết minh'!F115/'Thuyết minh'!F114</f>
        <v>0.33052430079713019</v>
      </c>
    </row>
    <row r="21" spans="2:6" ht="15.6" x14ac:dyDescent="0.3">
      <c r="B21" s="18" t="s">
        <v>25</v>
      </c>
      <c r="C21" s="21">
        <f>'Cân đối kế toán '!C21/('Cân đối kế toán '!C56+'Cân đối kế toán '!C59)</f>
        <v>0.79725187273361287</v>
      </c>
      <c r="D21" s="21">
        <f>'Cân đối kế toán '!D21/('Cân đối kế toán '!D56+'Cân đối kế toán '!D59)</f>
        <v>0.83346945150186125</v>
      </c>
      <c r="E21" s="21">
        <f>'Cân đối kế toán '!E21/('Cân đối kế toán '!E56+'Cân đối kế toán '!E59)</f>
        <v>0.90247517792047016</v>
      </c>
      <c r="F21" s="21">
        <f>'Cân đối kế toán '!F21/('Cân đối kế toán '!F56+'Cân đối kế toán '!F59)</f>
        <v>0.89739321423978913</v>
      </c>
    </row>
    <row r="22" spans="2:6" ht="15.6" x14ac:dyDescent="0.3">
      <c r="B22" s="18" t="s">
        <v>26</v>
      </c>
      <c r="C22" s="21">
        <f>SUM('Cân đối kế toán '!C10:C12)/'Cân đối kế toán '!C9</f>
        <v>0.2384234937115271</v>
      </c>
      <c r="D22" s="21">
        <f>SUM('Cân đối kế toán '!D10:D12)/'Cân đối kế toán '!D9</f>
        <v>0.18822943587582219</v>
      </c>
      <c r="E22" s="21">
        <f>SUM('Cân đối kế toán '!E10:E12)/'Cân đối kế toán '!E9</f>
        <v>0.23406121749439335</v>
      </c>
      <c r="F22" s="21">
        <f>SUM('Cân đối kế toán '!F10:F12)/'Cân đối kế toán '!F9</f>
        <v>0.22237172436289512</v>
      </c>
    </row>
    <row r="23" spans="2:6" ht="15.6" x14ac:dyDescent="0.3"/>
  </sheetData>
  <hyperlinks>
    <hyperlink ref="B1" location="Tổng!A1" display="BÁO CÁO | PHÂN TÍCH TÀI CHÍNH VINAMIL - QUẢN LÝ DỮ LIỆU BIỂU ĐỒ " xr:uid="{1B715730-26EA-4830-A435-A3DFF0A51E7A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0BF5-C381-4D20-86AA-71BE9FFF2DC2}">
  <sheetPr>
    <tabColor theme="8"/>
  </sheetPr>
  <dimension ref="B1:U153"/>
  <sheetViews>
    <sheetView showGridLines="0" workbookViewId="0">
      <selection activeCell="K137" sqref="K137"/>
    </sheetView>
  </sheetViews>
  <sheetFormatPr defaultRowHeight="15.6" x14ac:dyDescent="0.3"/>
  <cols>
    <col min="2" max="21" width="6.69921875" customWidth="1"/>
  </cols>
  <sheetData>
    <row r="1" spans="2:21" s="14" customFormat="1" ht="39" customHeight="1" x14ac:dyDescent="0.3">
      <c r="B1" s="14" t="s">
        <v>8</v>
      </c>
    </row>
    <row r="3" spans="2:21" ht="14.4" customHeight="1" x14ac:dyDescent="0.3">
      <c r="B3" s="233" t="s">
        <v>28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</row>
    <row r="4" spans="2:21" ht="14.4" customHeight="1" x14ac:dyDescent="0.3"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</row>
    <row r="5" spans="2:21" x14ac:dyDescent="0.3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2:21" s="27" customFormat="1" ht="14.4" x14ac:dyDescent="0.3">
      <c r="B6" s="234" t="s">
        <v>9</v>
      </c>
      <c r="C6" s="234"/>
      <c r="D6" s="234"/>
      <c r="E6" s="234"/>
      <c r="F6" s="234"/>
      <c r="G6" s="234"/>
      <c r="H6" s="234"/>
      <c r="I6" s="234"/>
      <c r="J6" s="234"/>
      <c r="K6" s="26"/>
      <c r="L6" s="26"/>
      <c r="M6" s="232" t="s">
        <v>10</v>
      </c>
      <c r="N6" s="232"/>
      <c r="O6" s="232"/>
      <c r="P6" s="232"/>
      <c r="Q6" s="232"/>
      <c r="R6" s="232"/>
      <c r="S6" s="232"/>
      <c r="T6" s="232"/>
      <c r="U6" s="232"/>
    </row>
    <row r="7" spans="2:21" x14ac:dyDescent="0.3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</row>
    <row r="8" spans="2:21" x14ac:dyDescent="0.3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  <row r="9" spans="2:21" x14ac:dyDescent="0.3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spans="2:21" x14ac:dyDescent="0.3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2:21" x14ac:dyDescent="0.3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spans="2:21" x14ac:dyDescent="0.3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spans="2:2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</row>
    <row r="14" spans="2:21" x14ac:dyDescent="0.3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spans="2:21" x14ac:dyDescent="0.3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2:21" x14ac:dyDescent="0.3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</row>
    <row r="17" spans="2:21" x14ac:dyDescent="0.3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 spans="2:21" x14ac:dyDescent="0.3">
      <c r="B18" s="28"/>
      <c r="C18" s="28"/>
      <c r="D18" s="28"/>
      <c r="E18" s="28"/>
      <c r="F18" s="28"/>
      <c r="G18" s="28"/>
      <c r="H18" s="28"/>
      <c r="I18" s="28"/>
      <c r="J18" s="28"/>
      <c r="K18" s="25"/>
      <c r="L18" s="25"/>
      <c r="M18" s="28"/>
      <c r="N18" s="28"/>
      <c r="O18" s="28"/>
      <c r="P18" s="28"/>
      <c r="Q18" s="28"/>
      <c r="R18" s="28"/>
      <c r="S18" s="28"/>
      <c r="T18" s="28"/>
      <c r="U18" s="28"/>
    </row>
    <row r="19" spans="2:21" x14ac:dyDescent="0.3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1" spans="2:21" x14ac:dyDescent="0.3">
      <c r="B21" s="235" t="s">
        <v>29</v>
      </c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</row>
    <row r="22" spans="2:21" x14ac:dyDescent="0.3">
      <c r="B22" s="235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</row>
    <row r="23" spans="2:21" x14ac:dyDescent="0.3">
      <c r="B23" s="29"/>
      <c r="C23" s="25"/>
      <c r="D23" s="29"/>
      <c r="E23" s="25"/>
      <c r="F23" s="29"/>
      <c r="G23" s="25"/>
      <c r="H23" s="29"/>
      <c r="I23" s="25"/>
      <c r="J23" s="29"/>
      <c r="K23" s="25"/>
      <c r="L23" s="29"/>
      <c r="M23" s="25"/>
      <c r="N23" s="29"/>
      <c r="O23" s="25"/>
      <c r="P23" s="29"/>
      <c r="Q23" s="25"/>
      <c r="R23" s="29"/>
      <c r="S23" s="25"/>
      <c r="T23" s="29"/>
      <c r="U23" s="25"/>
    </row>
    <row r="24" spans="2:21" s="30" customFormat="1" ht="14.4" x14ac:dyDescent="0.3">
      <c r="B24" s="234" t="s">
        <v>11</v>
      </c>
      <c r="C24" s="234"/>
      <c r="D24" s="234"/>
      <c r="E24" s="234"/>
      <c r="F24" s="234"/>
      <c r="G24" s="234"/>
      <c r="H24" s="234"/>
      <c r="I24" s="234"/>
      <c r="J24" s="234"/>
      <c r="K24" s="26"/>
      <c r="L24" s="26"/>
    </row>
    <row r="25" spans="2:21" x14ac:dyDescent="0.3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2:21" x14ac:dyDescent="0.3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2:21" x14ac:dyDescent="0.3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2:21" x14ac:dyDescent="0.3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2:21" x14ac:dyDescent="0.3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2:21" x14ac:dyDescent="0.3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2:21" x14ac:dyDescent="0.3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2:21" x14ac:dyDescent="0.3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2:21" x14ac:dyDescent="0.3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2:21" x14ac:dyDescent="0.3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2:21" x14ac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2:21" x14ac:dyDescent="0.3">
      <c r="B36" s="28"/>
      <c r="C36" s="28"/>
      <c r="D36" s="28"/>
      <c r="E36" s="28"/>
      <c r="F36" s="28"/>
      <c r="G36" s="28"/>
      <c r="H36" s="28"/>
      <c r="I36" s="28"/>
      <c r="J36" s="28"/>
      <c r="K36" s="25"/>
      <c r="L36" s="25"/>
    </row>
    <row r="39" spans="2:21" x14ac:dyDescent="0.3">
      <c r="B39" s="235" t="s">
        <v>30</v>
      </c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</row>
    <row r="40" spans="2:21" x14ac:dyDescent="0.3"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</row>
    <row r="41" spans="2:21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2:21" x14ac:dyDescent="0.3">
      <c r="B42" s="234" t="s">
        <v>12</v>
      </c>
      <c r="C42" s="234"/>
      <c r="D42" s="234"/>
      <c r="E42" s="234"/>
      <c r="F42" s="234"/>
      <c r="G42" s="234"/>
      <c r="H42" s="234"/>
      <c r="I42" s="234"/>
      <c r="J42" s="234"/>
      <c r="K42" s="26"/>
      <c r="L42" s="26"/>
      <c r="M42" s="232" t="s">
        <v>13</v>
      </c>
      <c r="N42" s="232"/>
      <c r="O42" s="232"/>
      <c r="P42" s="232"/>
      <c r="Q42" s="232"/>
      <c r="R42" s="232"/>
      <c r="S42" s="232"/>
      <c r="T42" s="232"/>
      <c r="U42" s="232"/>
    </row>
    <row r="43" spans="2:21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spans="2:21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2:21" x14ac:dyDescent="0.3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</row>
    <row r="46" spans="2:21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</row>
    <row r="47" spans="2:21" x14ac:dyDescent="0.3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  <row r="48" spans="2:21" x14ac:dyDescent="0.3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2:21" x14ac:dyDescent="0.3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</row>
    <row r="50" spans="2:21" x14ac:dyDescent="0.3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</row>
    <row r="51" spans="2:21" x14ac:dyDescent="0.3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</row>
    <row r="52" spans="2:21" x14ac:dyDescent="0.3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</row>
    <row r="53" spans="2:21" x14ac:dyDescent="0.3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</row>
    <row r="54" spans="2:21" x14ac:dyDescent="0.3">
      <c r="B54" s="28"/>
      <c r="C54" s="28"/>
      <c r="D54" s="28"/>
      <c r="E54" s="28"/>
      <c r="F54" s="28"/>
      <c r="G54" s="28"/>
      <c r="H54" s="28"/>
      <c r="I54" s="28"/>
      <c r="J54" s="28"/>
      <c r="K54" s="25"/>
      <c r="L54" s="25"/>
      <c r="M54" s="28"/>
      <c r="N54" s="28"/>
      <c r="O54" s="28"/>
      <c r="P54" s="28"/>
      <c r="Q54" s="28"/>
      <c r="R54" s="28"/>
      <c r="S54" s="28"/>
      <c r="T54" s="28"/>
      <c r="U54" s="28"/>
    </row>
    <row r="57" spans="2:21" x14ac:dyDescent="0.3">
      <c r="B57" s="234" t="s">
        <v>14</v>
      </c>
      <c r="C57" s="234"/>
      <c r="D57" s="234"/>
      <c r="E57" s="234"/>
      <c r="F57" s="234"/>
      <c r="G57" s="234"/>
      <c r="H57" s="234"/>
      <c r="I57" s="234"/>
      <c r="J57" s="234"/>
      <c r="K57" s="26"/>
      <c r="L57" s="26"/>
      <c r="M57" s="232" t="s">
        <v>15</v>
      </c>
      <c r="N57" s="232"/>
      <c r="O57" s="232"/>
      <c r="P57" s="232"/>
      <c r="Q57" s="232"/>
      <c r="R57" s="232"/>
      <c r="S57" s="232"/>
      <c r="T57" s="232"/>
      <c r="U57" s="232"/>
    </row>
    <row r="58" spans="2:21" x14ac:dyDescent="0.3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</row>
    <row r="59" spans="2:21" x14ac:dyDescent="0.3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2:21" x14ac:dyDescent="0.3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</row>
    <row r="61" spans="2:21" x14ac:dyDescent="0.3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</row>
    <row r="62" spans="2:21" x14ac:dyDescent="0.3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</row>
    <row r="63" spans="2:21" x14ac:dyDescent="0.3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</row>
    <row r="64" spans="2:21" x14ac:dyDescent="0.3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</row>
    <row r="65" spans="2:21" x14ac:dyDescent="0.3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</row>
    <row r="66" spans="2:21" x14ac:dyDescent="0.3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</row>
    <row r="67" spans="2:21" x14ac:dyDescent="0.3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</row>
    <row r="68" spans="2:21" x14ac:dyDescent="0.3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</row>
    <row r="69" spans="2:21" x14ac:dyDescent="0.3">
      <c r="B69" s="28"/>
      <c r="C69" s="28"/>
      <c r="D69" s="28"/>
      <c r="E69" s="28"/>
      <c r="F69" s="28"/>
      <c r="G69" s="28"/>
      <c r="H69" s="28"/>
      <c r="I69" s="28"/>
      <c r="J69" s="28"/>
      <c r="K69" s="25"/>
      <c r="L69" s="25"/>
      <c r="M69" s="28"/>
      <c r="N69" s="28"/>
      <c r="O69" s="28"/>
      <c r="P69" s="28"/>
      <c r="Q69" s="28"/>
      <c r="R69" s="28"/>
      <c r="S69" s="28"/>
      <c r="T69" s="28"/>
      <c r="U69" s="28"/>
    </row>
    <row r="72" spans="2:21" x14ac:dyDescent="0.3">
      <c r="B72" s="235" t="s">
        <v>31</v>
      </c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</row>
    <row r="73" spans="2:21" x14ac:dyDescent="0.3"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</row>
    <row r="74" spans="2:21" x14ac:dyDescent="0.3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</row>
    <row r="75" spans="2:21" s="30" customFormat="1" ht="14.4" x14ac:dyDescent="0.3">
      <c r="B75" s="232" t="s">
        <v>16</v>
      </c>
      <c r="C75" s="232"/>
      <c r="D75" s="232"/>
      <c r="E75" s="232"/>
      <c r="F75" s="232"/>
      <c r="G75" s="232"/>
      <c r="H75" s="26"/>
      <c r="I75" s="232" t="s">
        <v>17</v>
      </c>
      <c r="J75" s="232"/>
      <c r="K75" s="232"/>
      <c r="L75" s="232"/>
      <c r="M75" s="232"/>
      <c r="N75" s="232"/>
      <c r="O75" s="26"/>
      <c r="P75" s="232" t="s">
        <v>18</v>
      </c>
      <c r="Q75" s="232"/>
      <c r="R75" s="232"/>
      <c r="S75" s="232"/>
      <c r="T75" s="232"/>
      <c r="U75" s="232"/>
    </row>
    <row r="76" spans="2:21" x14ac:dyDescent="0.3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</row>
    <row r="77" spans="2:21" x14ac:dyDescent="0.3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spans="2:21" x14ac:dyDescent="0.3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</row>
    <row r="79" spans="2:21" x14ac:dyDescent="0.3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</row>
    <row r="80" spans="2:21" x14ac:dyDescent="0.3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  <row r="81" spans="2:21" x14ac:dyDescent="0.3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2:21" x14ac:dyDescent="0.3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</row>
    <row r="83" spans="2:21" x14ac:dyDescent="0.3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</row>
    <row r="84" spans="2:21" x14ac:dyDescent="0.3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</row>
    <row r="85" spans="2:21" x14ac:dyDescent="0.3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</row>
    <row r="86" spans="2:21" x14ac:dyDescent="0.3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</row>
    <row r="87" spans="2:21" x14ac:dyDescent="0.3">
      <c r="B87" s="28"/>
      <c r="C87" s="28"/>
      <c r="D87" s="28"/>
      <c r="E87" s="28"/>
      <c r="F87" s="28"/>
      <c r="G87" s="28"/>
      <c r="H87" s="25"/>
      <c r="I87" s="28"/>
      <c r="J87" s="28"/>
      <c r="K87" s="28"/>
      <c r="L87" s="28"/>
      <c r="M87" s="28"/>
      <c r="N87" s="28"/>
      <c r="O87" s="25"/>
      <c r="P87" s="28"/>
      <c r="Q87" s="28"/>
      <c r="R87" s="28"/>
      <c r="S87" s="28"/>
      <c r="T87" s="28"/>
      <c r="U87" s="28"/>
    </row>
    <row r="90" spans="2:21" x14ac:dyDescent="0.3">
      <c r="B90" s="235" t="s">
        <v>32</v>
      </c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</row>
    <row r="91" spans="2:21" x14ac:dyDescent="0.3"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</row>
    <row r="92" spans="2:21" x14ac:dyDescent="0.3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</row>
    <row r="93" spans="2:21" x14ac:dyDescent="0.3">
      <c r="B93" s="234" t="s">
        <v>19</v>
      </c>
      <c r="C93" s="234"/>
      <c r="D93" s="234"/>
      <c r="E93" s="234"/>
      <c r="F93" s="234"/>
      <c r="G93" s="234"/>
      <c r="H93" s="234"/>
      <c r="I93" s="234"/>
      <c r="J93" s="234"/>
      <c r="K93" s="26"/>
      <c r="L93" s="26"/>
      <c r="M93" s="232" t="s">
        <v>20</v>
      </c>
      <c r="N93" s="232"/>
      <c r="O93" s="232"/>
      <c r="P93" s="232"/>
      <c r="Q93" s="232"/>
      <c r="R93" s="232"/>
      <c r="S93" s="232"/>
      <c r="T93" s="232"/>
      <c r="U93" s="232"/>
    </row>
    <row r="94" spans="2:21" x14ac:dyDescent="0.3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</row>
    <row r="95" spans="2:21" x14ac:dyDescent="0.3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</row>
    <row r="96" spans="2:21" x14ac:dyDescent="0.3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</row>
    <row r="97" spans="2:21" x14ac:dyDescent="0.3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</row>
    <row r="98" spans="2:21" x14ac:dyDescent="0.3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</row>
    <row r="99" spans="2:21" x14ac:dyDescent="0.3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</row>
    <row r="100" spans="2:21" x14ac:dyDescent="0.3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</row>
    <row r="101" spans="2:21" x14ac:dyDescent="0.3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</row>
    <row r="102" spans="2:21" x14ac:dyDescent="0.3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</row>
    <row r="103" spans="2:21" x14ac:dyDescent="0.3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2:21" x14ac:dyDescent="0.3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</row>
    <row r="105" spans="2:21" x14ac:dyDescent="0.3">
      <c r="B105" s="28"/>
      <c r="C105" s="28"/>
      <c r="D105" s="28"/>
      <c r="E105" s="28"/>
      <c r="F105" s="28"/>
      <c r="G105" s="28"/>
      <c r="H105" s="28"/>
      <c r="I105" s="28"/>
      <c r="J105" s="28"/>
      <c r="K105" s="25"/>
      <c r="L105" s="25"/>
      <c r="M105" s="28"/>
      <c r="N105" s="28"/>
      <c r="O105" s="28"/>
      <c r="P105" s="28"/>
      <c r="Q105" s="28"/>
      <c r="R105" s="28"/>
      <c r="S105" s="28"/>
      <c r="T105" s="28"/>
      <c r="U105" s="28"/>
    </row>
    <row r="108" spans="2:21" x14ac:dyDescent="0.3">
      <c r="B108" s="234" t="s">
        <v>21</v>
      </c>
      <c r="C108" s="234"/>
      <c r="D108" s="234"/>
      <c r="E108" s="234"/>
      <c r="F108" s="234"/>
      <c r="G108" s="234"/>
      <c r="H108" s="234"/>
      <c r="I108" s="234"/>
      <c r="J108" s="234"/>
      <c r="K108" s="26"/>
      <c r="L108" s="26"/>
      <c r="M108" s="232" t="s">
        <v>22</v>
      </c>
      <c r="N108" s="232"/>
      <c r="O108" s="232"/>
      <c r="P108" s="232"/>
      <c r="Q108" s="232"/>
      <c r="R108" s="232"/>
      <c r="S108" s="232"/>
      <c r="T108" s="232"/>
      <c r="U108" s="232"/>
    </row>
    <row r="109" spans="2:21" x14ac:dyDescent="0.3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</row>
    <row r="110" spans="2:21" x14ac:dyDescent="0.3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</row>
    <row r="111" spans="2:21" x14ac:dyDescent="0.3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</row>
    <row r="112" spans="2:21" x14ac:dyDescent="0.3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</row>
    <row r="113" spans="2:21" x14ac:dyDescent="0.3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</row>
    <row r="114" spans="2:21" x14ac:dyDescent="0.3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spans="2:21" x14ac:dyDescent="0.3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</row>
    <row r="116" spans="2:21" x14ac:dyDescent="0.3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</row>
    <row r="117" spans="2:21" x14ac:dyDescent="0.3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</row>
    <row r="118" spans="2:21" x14ac:dyDescent="0.3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</row>
    <row r="119" spans="2:21" x14ac:dyDescent="0.3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</row>
    <row r="120" spans="2:21" x14ac:dyDescent="0.3">
      <c r="B120" s="28"/>
      <c r="C120" s="28"/>
      <c r="D120" s="28"/>
      <c r="E120" s="28"/>
      <c r="F120" s="28"/>
      <c r="G120" s="28"/>
      <c r="H120" s="28"/>
      <c r="I120" s="28"/>
      <c r="J120" s="28"/>
      <c r="K120" s="25"/>
      <c r="L120" s="25"/>
      <c r="M120" s="28"/>
      <c r="N120" s="28"/>
      <c r="O120" s="28"/>
      <c r="P120" s="28"/>
      <c r="Q120" s="28"/>
      <c r="R120" s="28"/>
      <c r="S120" s="28"/>
      <c r="T120" s="28"/>
      <c r="U120" s="28"/>
    </row>
    <row r="123" spans="2:21" x14ac:dyDescent="0.3">
      <c r="B123" s="234" t="s">
        <v>27</v>
      </c>
      <c r="C123" s="234"/>
      <c r="D123" s="234"/>
      <c r="E123" s="234"/>
      <c r="F123" s="234"/>
      <c r="G123" s="234"/>
      <c r="H123" s="234"/>
      <c r="I123" s="234"/>
      <c r="J123" s="234"/>
      <c r="K123" s="26"/>
      <c r="L123" s="26"/>
      <c r="M123" s="232" t="s">
        <v>23</v>
      </c>
      <c r="N123" s="232"/>
      <c r="O123" s="232"/>
      <c r="P123" s="232"/>
      <c r="Q123" s="232"/>
      <c r="R123" s="232"/>
      <c r="S123" s="232"/>
      <c r="T123" s="232"/>
      <c r="U123" s="232"/>
    </row>
    <row r="124" spans="2:21" x14ac:dyDescent="0.3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</row>
    <row r="125" spans="2:21" x14ac:dyDescent="0.3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2:21" x14ac:dyDescent="0.3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</row>
    <row r="127" spans="2:21" x14ac:dyDescent="0.3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</row>
    <row r="128" spans="2:21" x14ac:dyDescent="0.3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</row>
    <row r="129" spans="2:21" x14ac:dyDescent="0.3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</row>
    <row r="130" spans="2:21" x14ac:dyDescent="0.3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</row>
    <row r="131" spans="2:21" x14ac:dyDescent="0.3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</row>
    <row r="132" spans="2:21" x14ac:dyDescent="0.3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</row>
    <row r="133" spans="2:21" x14ac:dyDescent="0.3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</row>
    <row r="134" spans="2:21" x14ac:dyDescent="0.3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</row>
    <row r="135" spans="2:21" x14ac:dyDescent="0.3">
      <c r="B135" s="28"/>
      <c r="C135" s="28"/>
      <c r="D135" s="28"/>
      <c r="E135" s="28"/>
      <c r="F135" s="28"/>
      <c r="G135" s="28"/>
      <c r="H135" s="28"/>
      <c r="I135" s="28"/>
      <c r="J135" s="28"/>
      <c r="K135" s="25"/>
      <c r="L135" s="25"/>
      <c r="M135" s="28"/>
      <c r="N135" s="28"/>
      <c r="O135" s="28"/>
      <c r="P135" s="28"/>
      <c r="Q135" s="28"/>
      <c r="R135" s="28"/>
      <c r="S135" s="28"/>
      <c r="T135" s="28"/>
      <c r="U135" s="28"/>
    </row>
    <row r="138" spans="2:21" x14ac:dyDescent="0.3">
      <c r="B138" s="235" t="s">
        <v>33</v>
      </c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</row>
    <row r="139" spans="2:21" x14ac:dyDescent="0.3"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</row>
    <row r="141" spans="2:21" x14ac:dyDescent="0.3">
      <c r="B141" s="232" t="s">
        <v>24</v>
      </c>
      <c r="C141" s="232"/>
      <c r="D141" s="232"/>
      <c r="E141" s="232"/>
      <c r="F141" s="232"/>
      <c r="G141" s="232"/>
      <c r="H141" s="26"/>
      <c r="I141" s="232" t="s">
        <v>25</v>
      </c>
      <c r="J141" s="232"/>
      <c r="K141" s="232"/>
      <c r="L141" s="232"/>
      <c r="M141" s="232"/>
      <c r="N141" s="232"/>
      <c r="O141" s="26"/>
      <c r="P141" s="232" t="s">
        <v>26</v>
      </c>
      <c r="Q141" s="232"/>
      <c r="R141" s="232"/>
      <c r="S141" s="232"/>
      <c r="T141" s="232"/>
      <c r="U141" s="232"/>
    </row>
    <row r="142" spans="2:21" x14ac:dyDescent="0.3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</row>
    <row r="143" spans="2:21" x14ac:dyDescent="0.3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</row>
    <row r="144" spans="2:21" x14ac:dyDescent="0.3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</row>
    <row r="145" spans="2:21" x14ac:dyDescent="0.3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</row>
    <row r="146" spans="2:21" x14ac:dyDescent="0.3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</row>
    <row r="147" spans="2:21" x14ac:dyDescent="0.3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2:21" x14ac:dyDescent="0.3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</row>
    <row r="149" spans="2:21" x14ac:dyDescent="0.3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</row>
    <row r="150" spans="2:21" x14ac:dyDescent="0.3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</row>
    <row r="151" spans="2:21" x14ac:dyDescent="0.3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</row>
    <row r="152" spans="2:21" x14ac:dyDescent="0.3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</row>
    <row r="153" spans="2:21" x14ac:dyDescent="0.3">
      <c r="B153" s="28"/>
      <c r="C153" s="28"/>
      <c r="D153" s="28"/>
      <c r="E153" s="28"/>
      <c r="F153" s="28"/>
      <c r="G153" s="28"/>
      <c r="H153" s="25"/>
      <c r="I153" s="28"/>
      <c r="J153" s="28"/>
      <c r="K153" s="28"/>
      <c r="L153" s="28"/>
      <c r="M153" s="28"/>
      <c r="N153" s="28"/>
      <c r="O153" s="25"/>
      <c r="P153" s="28"/>
      <c r="Q153" s="28"/>
      <c r="R153" s="28"/>
      <c r="S153" s="28"/>
      <c r="T153" s="28"/>
      <c r="U153" s="28"/>
    </row>
  </sheetData>
  <mergeCells count="25">
    <mergeCell ref="B138:U139"/>
    <mergeCell ref="B141:G141"/>
    <mergeCell ref="I141:N141"/>
    <mergeCell ref="P141:U141"/>
    <mergeCell ref="B90:U91"/>
    <mergeCell ref="B93:J93"/>
    <mergeCell ref="M93:U93"/>
    <mergeCell ref="B108:J108"/>
    <mergeCell ref="M108:U108"/>
    <mergeCell ref="B123:J123"/>
    <mergeCell ref="M123:U123"/>
    <mergeCell ref="B75:G75"/>
    <mergeCell ref="I75:N75"/>
    <mergeCell ref="P75:U75"/>
    <mergeCell ref="B3:U4"/>
    <mergeCell ref="B6:J6"/>
    <mergeCell ref="M6:U6"/>
    <mergeCell ref="B21:U22"/>
    <mergeCell ref="B24:J24"/>
    <mergeCell ref="B39:U40"/>
    <mergeCell ref="B42:J42"/>
    <mergeCell ref="M42:U42"/>
    <mergeCell ref="B57:J57"/>
    <mergeCell ref="M57:U57"/>
    <mergeCell ref="B72:U73"/>
  </mergeCells>
  <hyperlinks>
    <hyperlink ref="B1" location="Tổng!A1" display="BÁO CÁO | PHÂN TÍCH TÀI CHÍNH VINAMIL - QUẢN LÝ DỮ LIỆU BIỂU ĐỒ " xr:uid="{D3BC547F-4E2A-4351-87EC-E1516E289B0E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1587-A5D2-4E45-9FB1-1EFE870EB40D}">
  <sheetPr>
    <tabColor theme="7" tint="0.79998168889431442"/>
  </sheetPr>
  <dimension ref="A1:N27"/>
  <sheetViews>
    <sheetView showGridLines="0" topLeftCell="A5" zoomScale="70" zoomScaleNormal="70" workbookViewId="0">
      <selection activeCell="G21" sqref="G21"/>
    </sheetView>
  </sheetViews>
  <sheetFormatPr defaultColWidth="7.8984375" defaultRowHeight="25.2" x14ac:dyDescent="0.45"/>
  <cols>
    <col min="1" max="1" width="9.69921875" style="140" customWidth="1"/>
    <col min="2" max="2" width="54.19921875" style="143" bestFit="1" customWidth="1"/>
    <col min="3" max="12" width="16.8984375" style="143" customWidth="1"/>
    <col min="13" max="13" width="7.8984375" style="143"/>
    <col min="14" max="14" width="15.69921875" style="143" bestFit="1" customWidth="1"/>
    <col min="15" max="16384" width="7.8984375" style="143"/>
  </cols>
  <sheetData>
    <row r="1" spans="2:14" s="138" customFormat="1" ht="52.8" customHeight="1" x14ac:dyDescent="0.3">
      <c r="B1" s="138" t="s">
        <v>34</v>
      </c>
    </row>
    <row r="2" spans="2:14" s="139" customFormat="1" x14ac:dyDescent="0.3"/>
    <row r="3" spans="2:14" s="140" customFormat="1" x14ac:dyDescent="0.45"/>
    <row r="4" spans="2:14" x14ac:dyDescent="0.45">
      <c r="B4" s="141"/>
      <c r="C4" s="236" t="s">
        <v>35</v>
      </c>
      <c r="D4" s="237"/>
      <c r="E4" s="237"/>
      <c r="F4" s="238"/>
      <c r="G4" s="239" t="s">
        <v>36</v>
      </c>
      <c r="H4" s="240"/>
      <c r="I4" s="240"/>
      <c r="J4" s="240"/>
      <c r="K4" s="241"/>
      <c r="L4" s="142" t="s">
        <v>37</v>
      </c>
    </row>
    <row r="5" spans="2:14" x14ac:dyDescent="0.45">
      <c r="B5" s="144"/>
      <c r="C5" s="145">
        <v>2020</v>
      </c>
      <c r="D5" s="146">
        <f>+C5+1</f>
        <v>2021</v>
      </c>
      <c r="E5" s="147">
        <f>+D5+1</f>
        <v>2022</v>
      </c>
      <c r="F5" s="148">
        <f>+E5+1</f>
        <v>2023</v>
      </c>
      <c r="G5" s="149">
        <f t="shared" ref="G5:K5" si="0">+F5+1</f>
        <v>2024</v>
      </c>
      <c r="H5" s="150">
        <f t="shared" si="0"/>
        <v>2025</v>
      </c>
      <c r="I5" s="150">
        <f t="shared" si="0"/>
        <v>2026</v>
      </c>
      <c r="J5" s="150">
        <f t="shared" si="0"/>
        <v>2027</v>
      </c>
      <c r="K5" s="151">
        <f t="shared" si="0"/>
        <v>2028</v>
      </c>
      <c r="L5" s="152" t="str">
        <f>MID(F5,3,2)&amp;"-"&amp;MID(K5,3,2)&amp;"F"</f>
        <v>23-28F</v>
      </c>
    </row>
    <row r="6" spans="2:14" x14ac:dyDescent="0.45">
      <c r="B6" s="153" t="s">
        <v>38</v>
      </c>
      <c r="C6" s="154">
        <f>SUM(C7:C10)</f>
        <v>1326230.0919999999</v>
      </c>
      <c r="D6" s="155">
        <f t="shared" ref="D6:K6" si="1">SUM(D7:D10)</f>
        <v>1414672.5870000001</v>
      </c>
      <c r="E6" s="155">
        <f t="shared" si="1"/>
        <v>1813815.17</v>
      </c>
      <c r="F6" s="156">
        <f t="shared" si="1"/>
        <v>1839613.1980000003</v>
      </c>
      <c r="G6" s="157">
        <f t="shared" si="1"/>
        <v>1993677.6245500003</v>
      </c>
      <c r="H6" s="158">
        <f t="shared" si="1"/>
        <v>2161653.6490925006</v>
      </c>
      <c r="I6" s="158">
        <f t="shared" si="1"/>
        <v>2344857.6891936255</v>
      </c>
      <c r="J6" s="158">
        <f t="shared" si="1"/>
        <v>2544734.0670644576</v>
      </c>
      <c r="K6" s="159">
        <f t="shared" si="1"/>
        <v>2762867.6131699458</v>
      </c>
      <c r="L6" s="48">
        <f>((K6/F6)^(1/5))-1</f>
        <v>8.4742639151410337E-2</v>
      </c>
    </row>
    <row r="7" spans="2:14" x14ac:dyDescent="0.45">
      <c r="B7" s="160" t="s">
        <v>39</v>
      </c>
      <c r="C7" s="161">
        <f>'Cân đối kế toán '!C20</f>
        <v>820545.46699999995</v>
      </c>
      <c r="D7" s="161">
        <f>'Cân đối kế toán '!D20</f>
        <v>934774.28700000001</v>
      </c>
      <c r="E7" s="161">
        <f>'Cân đối kế toán '!E20</f>
        <v>1120286.8319999999</v>
      </c>
      <c r="F7" s="161">
        <f>'Cân đối kế toán '!F20</f>
        <v>1241675.3330000001</v>
      </c>
      <c r="G7" s="162">
        <f t="shared" ref="G7:K10" si="2">F7*(1+G20)</f>
        <v>1365842.8663000001</v>
      </c>
      <c r="H7" s="163">
        <f t="shared" si="2"/>
        <v>1502427.1529300003</v>
      </c>
      <c r="I7" s="163">
        <f t="shared" si="2"/>
        <v>1652669.8682230006</v>
      </c>
      <c r="J7" s="163">
        <f t="shared" si="2"/>
        <v>1817936.8550453007</v>
      </c>
      <c r="K7" s="164">
        <f t="shared" si="2"/>
        <v>1999730.540549831</v>
      </c>
      <c r="L7" s="165">
        <f t="shared" ref="L7:L16" si="3">((K7/F7)^(1/5))-1</f>
        <v>0.10000000000000009</v>
      </c>
    </row>
    <row r="8" spans="2:14" x14ac:dyDescent="0.45">
      <c r="B8" s="160" t="s">
        <v>40</v>
      </c>
      <c r="C8" s="161">
        <f>'Cân đối kế toán '!C12</f>
        <v>267969.64500000002</v>
      </c>
      <c r="D8" s="161">
        <f>'Cân đối kế toán '!D12</f>
        <v>225764.546</v>
      </c>
      <c r="E8" s="161">
        <f>'Cân đối kế toán '!E12</f>
        <v>313637.44400000002</v>
      </c>
      <c r="F8" s="161">
        <f>'Cân đối kế toán '!F12</f>
        <v>336468.60700000002</v>
      </c>
      <c r="G8" s="162">
        <f t="shared" si="2"/>
        <v>353292.03735000006</v>
      </c>
      <c r="H8" s="163">
        <f t="shared" si="2"/>
        <v>370956.63921750005</v>
      </c>
      <c r="I8" s="163">
        <f t="shared" si="2"/>
        <v>389504.47117837507</v>
      </c>
      <c r="J8" s="163">
        <f t="shared" si="2"/>
        <v>408979.69473729382</v>
      </c>
      <c r="K8" s="164">
        <f t="shared" si="2"/>
        <v>429428.6794741585</v>
      </c>
      <c r="L8" s="165">
        <f t="shared" si="3"/>
        <v>5.0000000000000044E-2</v>
      </c>
    </row>
    <row r="9" spans="2:14" x14ac:dyDescent="0.45">
      <c r="B9" s="160" t="s">
        <v>41</v>
      </c>
      <c r="C9" s="161">
        <f>'Cân đối kế toán '!C16+'Cân đối kế toán '!C23+'Cân đối kế toán '!C27+'Cân đối kế toán '!C32+'Cân đối kế toán '!C42</f>
        <v>169663.52599999998</v>
      </c>
      <c r="D9" s="161">
        <f>'Cân đối kế toán '!D16+'Cân đối kế toán '!D23+'Cân đối kế toán '!D27+'Cân đối kế toán '!D32+'Cân đối kế toán '!D42</f>
        <v>184343.01700000002</v>
      </c>
      <c r="E9" s="161">
        <f>'Cân đối kế toán '!E16+'Cân đối kế toán '!E23+'Cân đối kế toán '!E27+'Cân đối kế toán '!E32+'Cân đối kế toán '!E42</f>
        <v>207849.83499999999</v>
      </c>
      <c r="F9" s="161">
        <f>'Cân đối kế toán '!F16+'Cân đối kế toán '!F23+'Cân đối kế toán '!F27+'Cân đối kế toán '!F32+'Cân đối kế toán '!F42</f>
        <v>158208.60100000002</v>
      </c>
      <c r="G9" s="162">
        <f t="shared" si="2"/>
        <v>166119.03105000002</v>
      </c>
      <c r="H9" s="163">
        <f t="shared" si="2"/>
        <v>174424.98260250004</v>
      </c>
      <c r="I9" s="163">
        <f t="shared" si="2"/>
        <v>183146.23173262505</v>
      </c>
      <c r="J9" s="163">
        <f t="shared" si="2"/>
        <v>192303.54331925631</v>
      </c>
      <c r="K9" s="164">
        <f t="shared" si="2"/>
        <v>201918.72048521912</v>
      </c>
      <c r="L9" s="165">
        <f t="shared" si="3"/>
        <v>5.0000000000000044E-2</v>
      </c>
    </row>
    <row r="10" spans="2:14" x14ac:dyDescent="0.45">
      <c r="B10" s="160" t="s">
        <v>42</v>
      </c>
      <c r="C10" s="161">
        <f>'Cân đối kế toán '!C10+'Cân đối kế toán '!C11+'Cân đối kế toán '!C19+'Cân đối kế toán '!C45</f>
        <v>68051.453999999998</v>
      </c>
      <c r="D10" s="161">
        <f>'Cân đối kế toán '!D10+'Cân đối kế toán '!D11+'Cân đối kế toán '!D19+'Cân đối kế toán '!D45</f>
        <v>69790.736999999994</v>
      </c>
      <c r="E10" s="161">
        <f>'Cân đối kế toán '!E10+'Cân đối kế toán '!E11+'Cân đối kế toán '!E19+'Cân đối kế toán '!E45</f>
        <v>172041.05900000001</v>
      </c>
      <c r="F10" s="161">
        <f>'Cân đối kế toán '!F10+'Cân đối kế toán '!F11+'Cân đối kế toán '!F19+'Cân đối kế toán '!F45</f>
        <v>103260.65700000001</v>
      </c>
      <c r="G10" s="162">
        <f>F10*(1+G23)</f>
        <v>108423.68985000001</v>
      </c>
      <c r="H10" s="163">
        <f t="shared" si="2"/>
        <v>113844.87434250001</v>
      </c>
      <c r="I10" s="163">
        <f t="shared" si="2"/>
        <v>119537.11805962502</v>
      </c>
      <c r="J10" s="163">
        <f t="shared" si="2"/>
        <v>125513.97396260628</v>
      </c>
      <c r="K10" s="164">
        <f t="shared" si="2"/>
        <v>131789.6726607366</v>
      </c>
      <c r="L10" s="166">
        <f t="shared" si="3"/>
        <v>5.0000000000000044E-2</v>
      </c>
      <c r="N10" s="167"/>
    </row>
    <row r="11" spans="2:14" x14ac:dyDescent="0.45">
      <c r="B11" s="168" t="s">
        <v>43</v>
      </c>
      <c r="C11" s="155">
        <f>SUM(C12:C16)</f>
        <v>1326230.0920000002</v>
      </c>
      <c r="D11" s="155">
        <f t="shared" ref="D11:K11" si="4">SUM(D12:D16)</f>
        <v>1414672.5869999998</v>
      </c>
      <c r="E11" s="155">
        <f t="shared" si="4"/>
        <v>1813815.17</v>
      </c>
      <c r="F11" s="156">
        <f t="shared" si="4"/>
        <v>1839613.1979999999</v>
      </c>
      <c r="G11" s="157">
        <f t="shared" si="4"/>
        <v>1993677.6245500003</v>
      </c>
      <c r="H11" s="158">
        <f t="shared" si="4"/>
        <v>2161653.6490925006</v>
      </c>
      <c r="I11" s="158">
        <f t="shared" si="4"/>
        <v>2344857.6891936255</v>
      </c>
      <c r="J11" s="158">
        <f t="shared" si="4"/>
        <v>2544734.0670644576</v>
      </c>
      <c r="K11" s="159">
        <f t="shared" si="4"/>
        <v>2762867.6131699458</v>
      </c>
      <c r="L11" s="169">
        <f t="shared" si="3"/>
        <v>8.4742639151410559E-2</v>
      </c>
    </row>
    <row r="12" spans="2:14" x14ac:dyDescent="0.45">
      <c r="B12" s="160" t="s">
        <v>44</v>
      </c>
      <c r="C12" s="161">
        <f>'Cân đối kế toán '!C53</f>
        <v>103583.833</v>
      </c>
      <c r="D12" s="161">
        <f>'Cân đối kế toán '!D53</f>
        <v>109757.777</v>
      </c>
      <c r="E12" s="161">
        <f>'Cân đối kế toán '!E53</f>
        <v>232510.85</v>
      </c>
      <c r="F12" s="161">
        <f>'Cân đối kế toán '!F53</f>
        <v>213838.98</v>
      </c>
      <c r="G12" s="162">
        <f>F12*(1+G24)</f>
        <v>235222.87800000003</v>
      </c>
      <c r="H12" s="163">
        <f t="shared" ref="G12:K14" si="5">G12*(1+H24)</f>
        <v>258745.16580000005</v>
      </c>
      <c r="I12" s="163">
        <f t="shared" si="5"/>
        <v>284619.68238000007</v>
      </c>
      <c r="J12" s="163">
        <f t="shared" si="5"/>
        <v>313081.65061800013</v>
      </c>
      <c r="K12" s="164">
        <f t="shared" si="5"/>
        <v>344389.81567980017</v>
      </c>
      <c r="L12" s="165">
        <f t="shared" si="3"/>
        <v>0.10000000000000009</v>
      </c>
    </row>
    <row r="13" spans="2:14" x14ac:dyDescent="0.45">
      <c r="B13" s="160" t="s">
        <v>45</v>
      </c>
      <c r="C13" s="161">
        <f>'Cân đối kế toán '!C56</f>
        <v>1032113.567</v>
      </c>
      <c r="D13" s="161">
        <f>'Cân đối kế toán '!D56</f>
        <v>1135323.9129999999</v>
      </c>
      <c r="E13" s="161">
        <f>'Cân đối kế toán '!E56</f>
        <v>1243468.4709999999</v>
      </c>
      <c r="F13" s="161">
        <f>'Cân đối kế toán '!F56</f>
        <v>1395697.611</v>
      </c>
      <c r="G13" s="162">
        <f>F13*(1+G25)</f>
        <v>1507353.4198800002</v>
      </c>
      <c r="H13" s="163">
        <f t="shared" si="5"/>
        <v>1627941.6934704003</v>
      </c>
      <c r="I13" s="163">
        <f t="shared" si="5"/>
        <v>1758177.0289480325</v>
      </c>
      <c r="J13" s="163">
        <f t="shared" si="5"/>
        <v>1898831.1912638752</v>
      </c>
      <c r="K13" s="164">
        <f t="shared" si="5"/>
        <v>2050737.6865649854</v>
      </c>
      <c r="L13" s="165">
        <f t="shared" si="3"/>
        <v>8.0000000000000071E-2</v>
      </c>
    </row>
    <row r="14" spans="2:14" x14ac:dyDescent="0.45">
      <c r="B14" s="160" t="s">
        <v>46</v>
      </c>
      <c r="C14" s="161">
        <f>'Cân đối kế toán '!C59</f>
        <v>21240.197</v>
      </c>
      <c r="D14" s="161">
        <f>'Cân đối kế toán '!D59</f>
        <v>17387.746999999999</v>
      </c>
      <c r="E14" s="161">
        <f>'Cân đối kế toán '!E59</f>
        <v>25337.894</v>
      </c>
      <c r="F14" s="161">
        <f>'Cân đối kế toán '!F59</f>
        <v>19912.623</v>
      </c>
      <c r="G14" s="162">
        <f t="shared" si="5"/>
        <v>24890.778749999998</v>
      </c>
      <c r="H14" s="163">
        <f t="shared" si="5"/>
        <v>31113.473437499997</v>
      </c>
      <c r="I14" s="163">
        <f t="shared" si="5"/>
        <v>38891.841796875</v>
      </c>
      <c r="J14" s="163">
        <f t="shared" si="5"/>
        <v>48614.80224609375</v>
      </c>
      <c r="K14" s="164">
        <f t="shared" si="5"/>
        <v>60768.502807617188</v>
      </c>
      <c r="L14" s="165">
        <f t="shared" si="3"/>
        <v>0.25</v>
      </c>
    </row>
    <row r="15" spans="2:14" x14ac:dyDescent="0.45">
      <c r="B15" s="160" t="s">
        <v>47</v>
      </c>
      <c r="C15" s="161">
        <f>'Cân đối kế toán '!C66</f>
        <v>94094.979000000007</v>
      </c>
      <c r="D15" s="161">
        <f>'Cân đối kế toán '!D66</f>
        <v>109117.393</v>
      </c>
      <c r="E15" s="161">
        <f>'Cân đối kế toán '!E66</f>
        <v>135646.08499999999</v>
      </c>
      <c r="F15" s="226">
        <f>'Cân đối kế toán '!F66</f>
        <v>165012.666</v>
      </c>
      <c r="G15" s="163">
        <f>F15+'KQKD-F'!G20</f>
        <v>201544.88344062399</v>
      </c>
      <c r="H15" s="163">
        <f>G15+'KQKD-F'!H20</f>
        <v>241546.31761011953</v>
      </c>
      <c r="I15" s="163">
        <f>H15+'KQKD-F'!I20</f>
        <v>285366.1942129457</v>
      </c>
      <c r="J15" s="163">
        <f>I15+'KQKD-F'!J20</f>
        <v>333386.33403586474</v>
      </c>
      <c r="K15" s="164">
        <f>J15+'KQKD-F'!K20</f>
        <v>386023.46087401034</v>
      </c>
      <c r="L15" s="165">
        <f t="shared" si="3"/>
        <v>0.18527543538067337</v>
      </c>
    </row>
    <row r="16" spans="2:14" x14ac:dyDescent="0.45">
      <c r="B16" s="160" t="s">
        <v>42</v>
      </c>
      <c r="C16" s="161">
        <f>'Cân đối kế toán '!C52+'Cân đối kế toán '!C57+'Cân đối kế toán '!C58+'Cân đối kế toán '!C60</f>
        <v>75197.516000000003</v>
      </c>
      <c r="D16" s="161">
        <f>'Cân đối kế toán '!D52+'Cân đối kế toán '!D57+'Cân đối kế toán '!D58+'Cân đối kế toán '!D60</f>
        <v>43085.756999999998</v>
      </c>
      <c r="E16" s="161">
        <f>'Cân đối kế toán '!E52+'Cân đối kế toán '!E57+'Cân đối kế toán '!E58+'Cân đối kế toán '!E60</f>
        <v>176851.87</v>
      </c>
      <c r="F16" s="161">
        <f>'Cân đối kế toán '!F52+'Cân đối kế toán '!F57+'Cân đối kế toán '!F58+'Cân đối kế toán '!F60</f>
        <v>45151.317999999999</v>
      </c>
      <c r="G16" s="162">
        <f>G6-SUM(G12:G15)</f>
        <v>24665.66447937605</v>
      </c>
      <c r="H16" s="163">
        <f t="shared" ref="H16:K16" si="6">H6-SUM(H12:H15)</f>
        <v>2306.9987744805403</v>
      </c>
      <c r="I16" s="163">
        <f t="shared" si="6"/>
        <v>-22197.058144228067</v>
      </c>
      <c r="J16" s="163">
        <f t="shared" si="6"/>
        <v>-49179.911099376157</v>
      </c>
      <c r="K16" s="164">
        <f t="shared" si="6"/>
        <v>-79051.852756467182</v>
      </c>
      <c r="L16" s="165">
        <f t="shared" si="3"/>
        <v>-2.1185317704145747</v>
      </c>
    </row>
    <row r="17" spans="2:11" x14ac:dyDescent="0.45">
      <c r="C17" s="161"/>
      <c r="D17" s="161"/>
      <c r="E17" s="161"/>
      <c r="F17" s="161"/>
      <c r="G17" s="161"/>
      <c r="H17" s="161"/>
      <c r="I17" s="161"/>
      <c r="J17" s="161"/>
      <c r="K17" s="161"/>
    </row>
    <row r="18" spans="2:11" x14ac:dyDescent="0.45">
      <c r="C18" s="170"/>
      <c r="D18" s="170"/>
      <c r="E18" s="170"/>
      <c r="F18" s="170"/>
    </row>
    <row r="19" spans="2:11" x14ac:dyDescent="0.45">
      <c r="B19" s="171" t="s">
        <v>48</v>
      </c>
      <c r="C19" s="172">
        <f t="shared" ref="C19:K19" si="7">C5</f>
        <v>2020</v>
      </c>
      <c r="D19" s="172">
        <f t="shared" si="7"/>
        <v>2021</v>
      </c>
      <c r="E19" s="172">
        <f t="shared" si="7"/>
        <v>2022</v>
      </c>
      <c r="F19" s="173">
        <f t="shared" si="7"/>
        <v>2023</v>
      </c>
      <c r="G19" s="174">
        <f t="shared" si="7"/>
        <v>2024</v>
      </c>
      <c r="H19" s="174">
        <f t="shared" si="7"/>
        <v>2025</v>
      </c>
      <c r="I19" s="174">
        <f t="shared" si="7"/>
        <v>2026</v>
      </c>
      <c r="J19" s="174">
        <f t="shared" si="7"/>
        <v>2027</v>
      </c>
      <c r="K19" s="174">
        <f t="shared" si="7"/>
        <v>2028</v>
      </c>
    </row>
    <row r="20" spans="2:11" x14ac:dyDescent="0.45">
      <c r="B20" s="175" t="s">
        <v>49</v>
      </c>
      <c r="C20" s="176"/>
      <c r="D20" s="176">
        <f>(D7/C7)-1</f>
        <v>0.1392108354673296</v>
      </c>
      <c r="E20" s="176">
        <f t="shared" ref="D20:F23" si="8">(E7/D7)-1</f>
        <v>0.19845704741769388</v>
      </c>
      <c r="F20" s="177">
        <f t="shared" si="8"/>
        <v>0.10835484050391853</v>
      </c>
      <c r="G20" s="178">
        <v>0.1</v>
      </c>
      <c r="H20" s="178">
        <f>G20</f>
        <v>0.1</v>
      </c>
      <c r="I20" s="178">
        <f t="shared" ref="I20:K22" si="9">H20</f>
        <v>0.1</v>
      </c>
      <c r="J20" s="178">
        <f t="shared" si="9"/>
        <v>0.1</v>
      </c>
      <c r="K20" s="178">
        <f t="shared" si="9"/>
        <v>0.1</v>
      </c>
    </row>
    <row r="21" spans="2:11" x14ac:dyDescent="0.45">
      <c r="B21" s="160" t="s">
        <v>50</v>
      </c>
      <c r="C21" s="179"/>
      <c r="D21" s="179">
        <f t="shared" si="8"/>
        <v>-0.15749955186155506</v>
      </c>
      <c r="E21" s="179">
        <f t="shared" si="8"/>
        <v>0.38922363832981999</v>
      </c>
      <c r="F21" s="180">
        <f t="shared" si="8"/>
        <v>7.2794761712188905E-2</v>
      </c>
      <c r="G21" s="181">
        <v>0.05</v>
      </c>
      <c r="H21" s="181">
        <f>G21</f>
        <v>0.05</v>
      </c>
      <c r="I21" s="181">
        <f t="shared" si="9"/>
        <v>0.05</v>
      </c>
      <c r="J21" s="181">
        <f t="shared" si="9"/>
        <v>0.05</v>
      </c>
      <c r="K21" s="181">
        <f t="shared" si="9"/>
        <v>0.05</v>
      </c>
    </row>
    <row r="22" spans="2:11" x14ac:dyDescent="0.45">
      <c r="B22" s="160" t="s">
        <v>51</v>
      </c>
      <c r="C22" s="179"/>
      <c r="D22" s="179">
        <f t="shared" si="8"/>
        <v>8.6521194897246412E-2</v>
      </c>
      <c r="E22" s="179">
        <f t="shared" si="8"/>
        <v>0.12751672606074349</v>
      </c>
      <c r="F22" s="180">
        <f t="shared" si="8"/>
        <v>-0.23883220306621833</v>
      </c>
      <c r="G22" s="181">
        <v>0.05</v>
      </c>
      <c r="H22" s="181">
        <f>G22</f>
        <v>0.05</v>
      </c>
      <c r="I22" s="181">
        <f t="shared" si="9"/>
        <v>0.05</v>
      </c>
      <c r="J22" s="181">
        <f t="shared" si="9"/>
        <v>0.05</v>
      </c>
      <c r="K22" s="181">
        <f t="shared" si="9"/>
        <v>0.05</v>
      </c>
    </row>
    <row r="23" spans="2:11" x14ac:dyDescent="0.45">
      <c r="B23" s="160" t="s">
        <v>52</v>
      </c>
      <c r="D23" s="179">
        <f>(D10/C10)-1</f>
        <v>2.5558351773056875E-2</v>
      </c>
      <c r="E23" s="179">
        <f t="shared" si="8"/>
        <v>1.465098756587139</v>
      </c>
      <c r="F23" s="180">
        <f t="shared" si="8"/>
        <v>-0.39979062207469906</v>
      </c>
      <c r="G23" s="181">
        <v>0.05</v>
      </c>
      <c r="H23" s="181">
        <f t="shared" ref="H23:K27" si="10">G23</f>
        <v>0.05</v>
      </c>
      <c r="I23" s="181">
        <f t="shared" si="10"/>
        <v>0.05</v>
      </c>
      <c r="J23" s="181">
        <f t="shared" si="10"/>
        <v>0.05</v>
      </c>
      <c r="K23" s="181">
        <f t="shared" si="10"/>
        <v>0.05</v>
      </c>
    </row>
    <row r="24" spans="2:11" x14ac:dyDescent="0.45">
      <c r="B24" s="160" t="s">
        <v>53</v>
      </c>
      <c r="D24" s="179">
        <f>(D12/C12)-1</f>
        <v>5.9603355284217008E-2</v>
      </c>
      <c r="E24" s="179">
        <f t="shared" ref="E24:F24" si="11">(E12/D12)-1</f>
        <v>1.1183997740770568</v>
      </c>
      <c r="F24" s="180">
        <f t="shared" si="11"/>
        <v>-8.0305370695604061E-2</v>
      </c>
      <c r="G24" s="181">
        <v>0.1</v>
      </c>
      <c r="H24" s="181">
        <f t="shared" si="10"/>
        <v>0.1</v>
      </c>
      <c r="I24" s="181">
        <f t="shared" si="10"/>
        <v>0.1</v>
      </c>
      <c r="J24" s="181">
        <f t="shared" si="10"/>
        <v>0.1</v>
      </c>
      <c r="K24" s="181">
        <f t="shared" si="10"/>
        <v>0.1</v>
      </c>
    </row>
    <row r="25" spans="2:11" x14ac:dyDescent="0.45">
      <c r="B25" s="160" t="s">
        <v>54</v>
      </c>
      <c r="D25" s="179">
        <f t="shared" ref="D25:F26" si="12">(D13/C13)-1</f>
        <v>9.9999020747297163E-2</v>
      </c>
      <c r="E25" s="179">
        <f t="shared" si="12"/>
        <v>9.5254364645801282E-2</v>
      </c>
      <c r="F25" s="180">
        <f t="shared" si="12"/>
        <v>0.12242299949718638</v>
      </c>
      <c r="G25" s="181">
        <v>0.08</v>
      </c>
      <c r="H25" s="181">
        <f t="shared" si="10"/>
        <v>0.08</v>
      </c>
      <c r="I25" s="181">
        <f t="shared" si="10"/>
        <v>0.08</v>
      </c>
      <c r="J25" s="181">
        <f t="shared" si="10"/>
        <v>0.08</v>
      </c>
      <c r="K25" s="181">
        <f t="shared" si="10"/>
        <v>0.08</v>
      </c>
    </row>
    <row r="26" spans="2:11" x14ac:dyDescent="0.45">
      <c r="B26" s="160" t="s">
        <v>55</v>
      </c>
      <c r="D26" s="179">
        <f t="shared" si="12"/>
        <v>-0.18137543639543463</v>
      </c>
      <c r="E26" s="179">
        <f t="shared" si="12"/>
        <v>0.45722697713510563</v>
      </c>
      <c r="F26" s="180">
        <f t="shared" si="12"/>
        <v>-0.21411688753611491</v>
      </c>
      <c r="G26" s="181">
        <v>0.25</v>
      </c>
      <c r="H26" s="181">
        <f t="shared" si="10"/>
        <v>0.25</v>
      </c>
      <c r="I26" s="181">
        <f t="shared" si="10"/>
        <v>0.25</v>
      </c>
      <c r="J26" s="181">
        <f t="shared" si="10"/>
        <v>0.25</v>
      </c>
      <c r="K26" s="181">
        <f t="shared" si="10"/>
        <v>0.25</v>
      </c>
    </row>
    <row r="27" spans="2:11" x14ac:dyDescent="0.45">
      <c r="B27" s="160" t="s">
        <v>52</v>
      </c>
      <c r="D27" s="179">
        <f>(D16/C16)-1</f>
        <v>-0.42703217749905464</v>
      </c>
      <c r="E27" s="179">
        <f>(E16/D16)-1</f>
        <v>3.1046480859092256</v>
      </c>
      <c r="F27" s="180">
        <f>(F16/E16)-1</f>
        <v>-0.74469414431410874</v>
      </c>
      <c r="G27" s="181">
        <v>0.1</v>
      </c>
      <c r="H27" s="181">
        <f t="shared" si="10"/>
        <v>0.1</v>
      </c>
      <c r="I27" s="181">
        <f t="shared" si="10"/>
        <v>0.1</v>
      </c>
      <c r="J27" s="181">
        <f t="shared" si="10"/>
        <v>0.1</v>
      </c>
      <c r="K27" s="181">
        <f t="shared" si="10"/>
        <v>0.1</v>
      </c>
    </row>
  </sheetData>
  <mergeCells count="2">
    <mergeCell ref="C4:F4"/>
    <mergeCell ref="G4:K4"/>
  </mergeCells>
  <hyperlinks>
    <hyperlink ref="B1" location="Tổng!A1" display="BÁO CÁO | PHÂN TÍCH TÀI CHÍNH VINAMIL - QUẢN LÝ DỮ LIỆU BIỂU ĐỒ " xr:uid="{20564D0E-AD71-48A3-BED7-82D11E548142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94D6-58EB-4A35-9B13-3DF474C2267A}">
  <sheetPr>
    <tabColor theme="7" tint="0.79998168889431442"/>
  </sheetPr>
  <dimension ref="B1:L32"/>
  <sheetViews>
    <sheetView showGridLines="0" topLeftCell="A3" zoomScale="55" zoomScaleNormal="55" workbookViewId="0">
      <selection activeCell="G32" sqref="G32"/>
    </sheetView>
  </sheetViews>
  <sheetFormatPr defaultColWidth="7.8984375" defaultRowHeight="23.4" x14ac:dyDescent="0.45"/>
  <cols>
    <col min="1" max="1" width="7.8984375" style="33"/>
    <col min="2" max="2" width="65.59765625" style="33" bestFit="1" customWidth="1"/>
    <col min="3" max="11" width="19.19921875" style="33" customWidth="1"/>
    <col min="12" max="12" width="13.19921875" style="33" bestFit="1" customWidth="1"/>
    <col min="13" max="16384" width="7.8984375" style="33"/>
  </cols>
  <sheetData>
    <row r="1" spans="2:12" s="14" customFormat="1" ht="52.2" customHeight="1" x14ac:dyDescent="0.3">
      <c r="B1" s="14" t="s">
        <v>56</v>
      </c>
    </row>
    <row r="4" spans="2:12" x14ac:dyDescent="0.45">
      <c r="B4" s="31"/>
      <c r="C4" s="242" t="s">
        <v>35</v>
      </c>
      <c r="D4" s="243"/>
      <c r="E4" s="243"/>
      <c r="F4" s="244"/>
      <c r="G4" s="245" t="s">
        <v>36</v>
      </c>
      <c r="H4" s="246"/>
      <c r="I4" s="246"/>
      <c r="J4" s="246"/>
      <c r="K4" s="247"/>
      <c r="L4" s="32" t="s">
        <v>37</v>
      </c>
    </row>
    <row r="5" spans="2:12" x14ac:dyDescent="0.45">
      <c r="B5" s="34"/>
      <c r="C5" s="35">
        <v>2020</v>
      </c>
      <c r="D5" s="36">
        <f>+C5+1</f>
        <v>2021</v>
      </c>
      <c r="E5" s="37">
        <f>+D5+1</f>
        <v>2022</v>
      </c>
      <c r="F5" s="38">
        <f>+E5+1</f>
        <v>2023</v>
      </c>
      <c r="G5" s="39">
        <f>+F5+1</f>
        <v>2024</v>
      </c>
      <c r="H5" s="39">
        <f t="shared" ref="H5:K5" si="0">+G5+1</f>
        <v>2025</v>
      </c>
      <c r="I5" s="39">
        <f t="shared" si="0"/>
        <v>2026</v>
      </c>
      <c r="J5" s="39">
        <f t="shared" si="0"/>
        <v>2027</v>
      </c>
      <c r="K5" s="40">
        <f t="shared" si="0"/>
        <v>2028</v>
      </c>
      <c r="L5" s="41" t="str">
        <f>MID(F5,3,2)&amp;"-"&amp;MID(K5,3,2)&amp;"F"</f>
        <v>23-28F</v>
      </c>
    </row>
    <row r="6" spans="2:12" x14ac:dyDescent="0.45">
      <c r="B6" s="42" t="s">
        <v>57</v>
      </c>
      <c r="C6" s="43">
        <f>SUM(C7:C8)</f>
        <v>36285.475000000006</v>
      </c>
      <c r="D6" s="44">
        <f t="shared" ref="D6:F6" si="1">SUM(D7:D8)</f>
        <v>42399.616999999998</v>
      </c>
      <c r="E6" s="44">
        <f t="shared" si="1"/>
        <v>53246.477999999996</v>
      </c>
      <c r="F6" s="45">
        <f t="shared" si="1"/>
        <v>53620.869000000006</v>
      </c>
      <c r="G6" s="46">
        <f>SUM(G7:G8)</f>
        <v>61091.366202179997</v>
      </c>
      <c r="H6" s="46">
        <f t="shared" ref="H6:K6" si="2">SUM(H7:H8)</f>
        <v>66398.137552769418</v>
      </c>
      <c r="I6" s="46">
        <f t="shared" si="2"/>
        <v>72201.035974860715</v>
      </c>
      <c r="J6" s="46">
        <f t="shared" si="2"/>
        <v>78545.193165535282</v>
      </c>
      <c r="K6" s="47">
        <f t="shared" si="2"/>
        <v>85479.009919806602</v>
      </c>
      <c r="L6" s="48">
        <f>((K6/F6)^(1/5))-1</f>
        <v>9.7754249656432979E-2</v>
      </c>
    </row>
    <row r="7" spans="2:12" x14ac:dyDescent="0.45">
      <c r="B7" s="49" t="s">
        <v>58</v>
      </c>
      <c r="C7" s="50">
        <f>'Kết quả kinh doanh '!C5</f>
        <v>69205.134000000005</v>
      </c>
      <c r="D7" s="50">
        <f>'Kết quả kinh doanh '!D5</f>
        <v>70749.001999999993</v>
      </c>
      <c r="E7" s="50">
        <f>'Kết quả kinh doanh '!E5</f>
        <v>88112.7</v>
      </c>
      <c r="F7" s="51">
        <f>'Kết quả kinh doanh '!F5</f>
        <v>108122.27800000001</v>
      </c>
      <c r="G7" s="52">
        <f>(SUM('CĐKT-F'!G7:G9)+SUM('CĐKT-F'!F7:F9))/2*'KQKD-F'!G26</f>
        <v>108648.194271</v>
      </c>
      <c r="H7" s="52">
        <f>(SUM('CĐKT-F'!H7:H9)+SUM('CĐKT-F'!G7:G9))/2*'KQKD-F'!H26</f>
        <v>117991.88128350003</v>
      </c>
      <c r="I7" s="52">
        <f>(SUM('CĐKT-F'!I7:I9)+SUM('CĐKT-F'!H7:H9))/2*'KQKD-F'!I26</f>
        <v>128193.88037652003</v>
      </c>
      <c r="J7" s="52">
        <f>(SUM('CĐKT-F'!J7:J9)+SUM('CĐKT-F'!I7:I9))/2*'KQKD-F'!J26</f>
        <v>139336.21992707555</v>
      </c>
      <c r="K7" s="53">
        <f>(SUM('CĐKT-F'!K7:K9)+SUM('CĐKT-F'!J7:J9))/2*'KQKD-F'!K26</f>
        <v>151508.94100833181</v>
      </c>
      <c r="L7" s="54">
        <f t="shared" ref="L7:L20" si="3">((K7/F7)^(1/5))-1</f>
        <v>6.9804979678312007E-2</v>
      </c>
    </row>
    <row r="8" spans="2:12" x14ac:dyDescent="0.45">
      <c r="B8" s="49" t="s">
        <v>59</v>
      </c>
      <c r="C8" s="50">
        <f>'Kết quả kinh doanh '!C6</f>
        <v>-32919.659</v>
      </c>
      <c r="D8" s="50">
        <f>'Kết quả kinh doanh '!D6</f>
        <v>-28349.384999999998</v>
      </c>
      <c r="E8" s="50">
        <f>'Kết quả kinh doanh '!E6</f>
        <v>-34866.222000000002</v>
      </c>
      <c r="F8" s="51">
        <f>'Kết quả kinh doanh '!F6</f>
        <v>-54501.409</v>
      </c>
      <c r="G8" s="52">
        <f>-(SUM('CĐKT-F'!G12:G14)+SUM('CĐKT-F'!F12:F14))/2*'KQKD-F'!G27</f>
        <v>-47556.828068820003</v>
      </c>
      <c r="H8" s="52">
        <f>-(SUM('CĐKT-F'!H12:H14)+SUM('CĐKT-F'!G12:G14))/2*'KQKD-F'!H27</f>
        <v>-51593.74373073061</v>
      </c>
      <c r="I8" s="52">
        <f>-(SUM('CĐKT-F'!I12:I14)+SUM('CĐKT-F'!H12:H14))/2*'KQKD-F'!I27</f>
        <v>-55992.844401659313</v>
      </c>
      <c r="J8" s="52">
        <f>-(SUM('CĐKT-F'!J12:J14)+SUM('CĐKT-F'!I12:I14))/2*'KQKD-F'!J27</f>
        <v>-60791.026761540277</v>
      </c>
      <c r="K8" s="53">
        <f>-(SUM('CĐKT-F'!K12:K14)+SUM('CĐKT-F'!J12:J14))/2*'KQKD-F'!K27</f>
        <v>-66029.931088525205</v>
      </c>
      <c r="L8" s="54">
        <f t="shared" si="3"/>
        <v>3.9122198870979563E-2</v>
      </c>
    </row>
    <row r="9" spans="2:12" x14ac:dyDescent="0.45">
      <c r="B9" s="55" t="s">
        <v>60</v>
      </c>
      <c r="C9" s="56">
        <f>'Kết quả kinh doanh '!C10</f>
        <v>6607.317</v>
      </c>
      <c r="D9" s="56">
        <f>'Kết quả kinh doanh '!D10</f>
        <v>7407.0730000000003</v>
      </c>
      <c r="E9" s="56">
        <f>'Kết quả kinh doanh '!E10</f>
        <v>6839.1</v>
      </c>
      <c r="F9" s="57">
        <f>'Kết quả kinh doanh '!F10</f>
        <v>5779.723</v>
      </c>
      <c r="G9" s="58">
        <f>F9*(1+G28)</f>
        <v>6068.7091500000006</v>
      </c>
      <c r="H9" s="58">
        <f t="shared" ref="H9:K9" si="4">G9*(1+H28)</f>
        <v>6372.1446075000013</v>
      </c>
      <c r="I9" s="58">
        <f t="shared" si="4"/>
        <v>6690.7518378750019</v>
      </c>
      <c r="J9" s="58">
        <f t="shared" si="4"/>
        <v>7025.2894297687526</v>
      </c>
      <c r="K9" s="59">
        <f t="shared" si="4"/>
        <v>7376.5539012571908</v>
      </c>
      <c r="L9" s="60">
        <f t="shared" si="3"/>
        <v>5.0000000000000044E-2</v>
      </c>
    </row>
    <row r="10" spans="2:12" x14ac:dyDescent="0.45">
      <c r="B10" s="55" t="s">
        <v>61</v>
      </c>
      <c r="C10" s="50">
        <f>SUM('Kết quả kinh doanh '!C11:C13)</f>
        <v>3908.1109999999999</v>
      </c>
      <c r="D10" s="50">
        <f>SUM('Kết quả kinh doanh '!D11:D13)</f>
        <v>4393.8079999999991</v>
      </c>
      <c r="E10" s="50">
        <f>SUM('Kết quả kinh doanh '!E11:E13)</f>
        <v>5734.8459999999995</v>
      </c>
      <c r="F10" s="51">
        <f>SUM('Kết quả kinh doanh '!F11:F13)</f>
        <v>5784.2449999999999</v>
      </c>
      <c r="G10" s="52">
        <f>F10*(1+G29)</f>
        <v>6246.9846000000007</v>
      </c>
      <c r="H10" s="52">
        <f>G10*(1+H29)</f>
        <v>6746.7433680000013</v>
      </c>
      <c r="I10" s="52">
        <f>H10*(1+I29)</f>
        <v>7286.4828374400022</v>
      </c>
      <c r="J10" s="52">
        <f>I10*(1+J29)</f>
        <v>7869.4014644352028</v>
      </c>
      <c r="K10" s="53">
        <f>J10*(1+K29)</f>
        <v>8498.9535815900199</v>
      </c>
      <c r="L10" s="54">
        <f t="shared" si="3"/>
        <v>8.0000000000000071E-2</v>
      </c>
    </row>
    <row r="11" spans="2:12" x14ac:dyDescent="0.45">
      <c r="B11" s="55" t="s">
        <v>62</v>
      </c>
      <c r="C11" s="50">
        <f>SUM('Kết quả kinh doanh '!C16:C17)</f>
        <v>2261.6379999999999</v>
      </c>
      <c r="D11" s="50">
        <f>SUM('Kết quả kinh doanh '!D16:D17)</f>
        <v>2523.0709999999999</v>
      </c>
      <c r="E11" s="50">
        <f>SUM('Kết quả kinh doanh '!E16:E17)</f>
        <v>2262.3969999999999</v>
      </c>
      <c r="F11" s="51">
        <f>SUM('Kết quả kinh doanh '!F16:F17)</f>
        <v>2538.625</v>
      </c>
      <c r="G11" s="52">
        <f>F11</f>
        <v>2538.625</v>
      </c>
      <c r="H11" s="52">
        <f t="shared" ref="H11:K11" si="5">G11</f>
        <v>2538.625</v>
      </c>
      <c r="I11" s="52">
        <f t="shared" si="5"/>
        <v>2538.625</v>
      </c>
      <c r="J11" s="52">
        <f t="shared" si="5"/>
        <v>2538.625</v>
      </c>
      <c r="K11" s="53">
        <f t="shared" si="5"/>
        <v>2538.625</v>
      </c>
      <c r="L11" s="54">
        <f t="shared" si="3"/>
        <v>0</v>
      </c>
    </row>
    <row r="12" spans="2:12" x14ac:dyDescent="0.45">
      <c r="B12" s="55" t="s">
        <v>63</v>
      </c>
      <c r="C12" s="56">
        <f t="shared" ref="C12:K12" si="6">C11+C10+C9+C6</f>
        <v>49062.541000000005</v>
      </c>
      <c r="D12" s="56">
        <f t="shared" si="6"/>
        <v>56723.568999999996</v>
      </c>
      <c r="E12" s="56">
        <f t="shared" si="6"/>
        <v>68082.820999999996</v>
      </c>
      <c r="F12" s="57">
        <f t="shared" si="6"/>
        <v>67723.462</v>
      </c>
      <c r="G12" s="58">
        <f t="shared" si="6"/>
        <v>75945.684952180003</v>
      </c>
      <c r="H12" s="58">
        <f t="shared" si="6"/>
        <v>82055.650528269412</v>
      </c>
      <c r="I12" s="58">
        <f t="shared" si="6"/>
        <v>88716.89565017572</v>
      </c>
      <c r="J12" s="58">
        <f t="shared" si="6"/>
        <v>95978.509059739241</v>
      </c>
      <c r="K12" s="59">
        <f t="shared" si="6"/>
        <v>103893.14240265382</v>
      </c>
      <c r="L12" s="60">
        <f t="shared" si="3"/>
        <v>8.9355288883375517E-2</v>
      </c>
    </row>
    <row r="13" spans="2:12" x14ac:dyDescent="0.45">
      <c r="B13" s="49" t="s">
        <v>64</v>
      </c>
      <c r="C13" s="50">
        <f>'Kết quả kinh doanh '!C19</f>
        <v>-16038.25</v>
      </c>
      <c r="D13" s="50">
        <f>'Kết quả kinh doanh '!D19</f>
        <v>-17574.187999999998</v>
      </c>
      <c r="E13" s="50">
        <f>'Kết quả kinh doanh '!E19</f>
        <v>-21250.511999999999</v>
      </c>
      <c r="F13" s="51">
        <f>'Kết quả kinh doanh '!F19</f>
        <v>-21914.899000000001</v>
      </c>
      <c r="G13" s="52">
        <f>F13*(1+G30)</f>
        <v>-23010.643950000001</v>
      </c>
      <c r="H13" s="52">
        <f t="shared" ref="H13:K13" si="7">G13*(1+H30)</f>
        <v>-24161.176147500002</v>
      </c>
      <c r="I13" s="52">
        <f t="shared" si="7"/>
        <v>-25369.234954875003</v>
      </c>
      <c r="J13" s="52">
        <f t="shared" si="7"/>
        <v>-26637.696702618752</v>
      </c>
      <c r="K13" s="53">
        <f t="shared" si="7"/>
        <v>-27969.581537749691</v>
      </c>
      <c r="L13" s="54">
        <f t="shared" si="3"/>
        <v>5.0000000000000044E-2</v>
      </c>
    </row>
    <row r="14" spans="2:12" x14ac:dyDescent="0.45">
      <c r="B14" s="55" t="s">
        <v>65</v>
      </c>
      <c r="C14" s="56">
        <f>C12+C13</f>
        <v>33024.291000000005</v>
      </c>
      <c r="D14" s="56">
        <f t="shared" ref="D14:F14" si="8">D12+D13</f>
        <v>39149.380999999994</v>
      </c>
      <c r="E14" s="56">
        <f t="shared" si="8"/>
        <v>46832.308999999994</v>
      </c>
      <c r="F14" s="57">
        <f t="shared" si="8"/>
        <v>45808.562999999995</v>
      </c>
      <c r="G14" s="58">
        <f>SUM(G12:G13)</f>
        <v>52935.041002180005</v>
      </c>
      <c r="H14" s="58">
        <f t="shared" ref="H14:J14" si="9">H12+H13</f>
        <v>57894.47438076941</v>
      </c>
      <c r="I14" s="58">
        <f t="shared" si="9"/>
        <v>63347.660695300714</v>
      </c>
      <c r="J14" s="58">
        <f t="shared" si="9"/>
        <v>69340.812357120492</v>
      </c>
      <c r="K14" s="59">
        <f>K12+K13</f>
        <v>75923.560864904124</v>
      </c>
      <c r="L14" s="60">
        <f t="shared" si="3"/>
        <v>0.10633328841626422</v>
      </c>
    </row>
    <row r="15" spans="2:12" x14ac:dyDescent="0.45">
      <c r="B15" s="49" t="s">
        <v>66</v>
      </c>
      <c r="C15" s="50">
        <f>'Kết quả kinh doanh '!C21</f>
        <v>-9974.73</v>
      </c>
      <c r="D15" s="50">
        <f>'Kết quả kinh doanh '!D21</f>
        <v>-11760.800999999999</v>
      </c>
      <c r="E15" s="50">
        <f>'Kết quả kinh doanh '!E21</f>
        <v>-9464.2180000000008</v>
      </c>
      <c r="F15" s="51">
        <f>'Kết quả kinh doanh '!F21</f>
        <v>-4564.8760000000002</v>
      </c>
      <c r="G15" s="52">
        <f>-(SUM('CĐKT-F'!G7:G9)+SUM('CĐKT-F'!F7:F9))/2*'KQKD-F'!G31</f>
        <v>-7243.2129514000007</v>
      </c>
      <c r="H15" s="52">
        <f>-(SUM('CĐKT-F'!H7:H9)+SUM('CĐKT-F'!G7:G9))/2*'KQKD-F'!H31</f>
        <v>-7866.1254189000019</v>
      </c>
      <c r="I15" s="52">
        <f>-(SUM('CĐKT-F'!I7:I9)+SUM('CĐKT-F'!H7:H9))/2*'KQKD-F'!I31</f>
        <v>-8546.2586917680019</v>
      </c>
      <c r="J15" s="52">
        <f>-(SUM('CĐKT-F'!J7:J9)+SUM('CĐKT-F'!I7:I9))/2*'KQKD-F'!J31</f>
        <v>-9289.0813284717042</v>
      </c>
      <c r="K15" s="53">
        <f>-(SUM('CĐKT-F'!K7:K9)+SUM('CĐKT-F'!J7:J9))/2*'KQKD-F'!K31</f>
        <v>-10100.596067222121</v>
      </c>
      <c r="L15" s="54">
        <f t="shared" si="3"/>
        <v>0.17215111157750584</v>
      </c>
    </row>
    <row r="16" spans="2:12" x14ac:dyDescent="0.45">
      <c r="B16" s="55" t="s">
        <v>67</v>
      </c>
      <c r="C16" s="56">
        <f>C14+C15</f>
        <v>23049.561000000005</v>
      </c>
      <c r="D16" s="56">
        <f t="shared" ref="D16:K16" si="10">D14+D15</f>
        <v>27388.579999999994</v>
      </c>
      <c r="E16" s="56">
        <f t="shared" si="10"/>
        <v>37368.090999999993</v>
      </c>
      <c r="F16" s="57">
        <f t="shared" si="10"/>
        <v>41243.686999999991</v>
      </c>
      <c r="G16" s="58">
        <f t="shared" si="10"/>
        <v>45691.828050780008</v>
      </c>
      <c r="H16" s="58">
        <f t="shared" si="10"/>
        <v>50028.348961869408</v>
      </c>
      <c r="I16" s="58">
        <f t="shared" si="10"/>
        <v>54801.402003532712</v>
      </c>
      <c r="J16" s="58">
        <f t="shared" si="10"/>
        <v>60051.731028648792</v>
      </c>
      <c r="K16" s="59">
        <f t="shared" si="10"/>
        <v>65822.964797681998</v>
      </c>
      <c r="L16" s="60">
        <f t="shared" si="3"/>
        <v>9.800417514066817E-2</v>
      </c>
    </row>
    <row r="17" spans="2:12" x14ac:dyDescent="0.45">
      <c r="B17" s="49" t="s">
        <v>68</v>
      </c>
      <c r="C17" s="50">
        <f>'Kết quả kinh doanh '!C25</f>
        <v>-4577.0429999999997</v>
      </c>
      <c r="D17" s="50">
        <f>'Kết quả kinh doanh '!D25</f>
        <v>-5449.5349999999999</v>
      </c>
      <c r="E17" s="50">
        <f>'Kết quả kinh doanh '!E25</f>
        <v>-7449.0370000000003</v>
      </c>
      <c r="F17" s="51">
        <f>'Kết quả kinh doanh '!F25</f>
        <v>-8189.2389999999996</v>
      </c>
      <c r="G17" s="52">
        <f>-G16*G32</f>
        <v>-9138.3656101560027</v>
      </c>
      <c r="H17" s="52">
        <f t="shared" ref="H17:K17" si="11">-H16*H32</f>
        <v>-10005.669792373883</v>
      </c>
      <c r="I17" s="52">
        <f t="shared" si="11"/>
        <v>-10960.280400706542</v>
      </c>
      <c r="J17" s="52">
        <f t="shared" si="11"/>
        <v>-12010.346205729758</v>
      </c>
      <c r="K17" s="53">
        <f t="shared" si="11"/>
        <v>-13164.5929595364</v>
      </c>
      <c r="L17" s="54">
        <f t="shared" si="3"/>
        <v>9.9595054492235491E-2</v>
      </c>
    </row>
    <row r="18" spans="2:12" x14ac:dyDescent="0.45">
      <c r="B18" s="55" t="s">
        <v>69</v>
      </c>
      <c r="C18" s="56">
        <f>C16+C17</f>
        <v>18472.518000000004</v>
      </c>
      <c r="D18" s="56">
        <f t="shared" ref="D18:K18" si="12">D16+D17</f>
        <v>21939.044999999995</v>
      </c>
      <c r="E18" s="56">
        <f t="shared" si="12"/>
        <v>29919.053999999993</v>
      </c>
      <c r="F18" s="57">
        <f t="shared" si="12"/>
        <v>33054.447999999989</v>
      </c>
      <c r="G18" s="58">
        <f t="shared" si="12"/>
        <v>36553.462440624004</v>
      </c>
      <c r="H18" s="58">
        <f t="shared" si="12"/>
        <v>40022.679169495525</v>
      </c>
      <c r="I18" s="58">
        <f t="shared" si="12"/>
        <v>43841.12160282617</v>
      </c>
      <c r="J18" s="58">
        <f t="shared" si="12"/>
        <v>48041.384822919033</v>
      </c>
      <c r="K18" s="59">
        <f t="shared" si="12"/>
        <v>52658.371838145598</v>
      </c>
      <c r="L18" s="60">
        <f t="shared" si="3"/>
        <v>9.7608606108480434E-2</v>
      </c>
    </row>
    <row r="19" spans="2:12" x14ac:dyDescent="0.45">
      <c r="B19" s="49" t="s">
        <v>70</v>
      </c>
      <c r="C19" s="50">
        <f>'Kết quả kinh doanh '!C27</f>
        <v>21.207000000000001</v>
      </c>
      <c r="D19" s="50">
        <f>'Kết quả kinh doanh '!D27</f>
        <v>20.231999999999999</v>
      </c>
      <c r="E19" s="50">
        <f>'Kết quả kinh doanh '!E27</f>
        <v>20.04</v>
      </c>
      <c r="F19" s="51">
        <f>'Kết quả kinh doanh '!F27</f>
        <v>21.245000000000001</v>
      </c>
      <c r="G19" s="52">
        <f>F19</f>
        <v>21.245000000000001</v>
      </c>
      <c r="H19" s="52">
        <f t="shared" ref="H19:K19" si="13">G19</f>
        <v>21.245000000000001</v>
      </c>
      <c r="I19" s="52">
        <f t="shared" si="13"/>
        <v>21.245000000000001</v>
      </c>
      <c r="J19" s="52">
        <f t="shared" si="13"/>
        <v>21.245000000000001</v>
      </c>
      <c r="K19" s="53">
        <f t="shared" si="13"/>
        <v>21.245000000000001</v>
      </c>
      <c r="L19" s="54">
        <f t="shared" si="3"/>
        <v>0</v>
      </c>
    </row>
    <row r="20" spans="2:12" x14ac:dyDescent="0.45">
      <c r="B20" s="55" t="s">
        <v>71</v>
      </c>
      <c r="C20" s="56">
        <f>C18-C19</f>
        <v>18451.311000000005</v>
      </c>
      <c r="D20" s="56">
        <f t="shared" ref="D20:K20" si="14">D18-D19</f>
        <v>21918.812999999995</v>
      </c>
      <c r="E20" s="56">
        <f t="shared" si="14"/>
        <v>29899.013999999992</v>
      </c>
      <c r="F20" s="57">
        <f t="shared" si="14"/>
        <v>33033.202999999987</v>
      </c>
      <c r="G20" s="58">
        <f t="shared" si="14"/>
        <v>36532.217440624001</v>
      </c>
      <c r="H20" s="58">
        <f t="shared" si="14"/>
        <v>40001.434169495522</v>
      </c>
      <c r="I20" s="58">
        <f t="shared" si="14"/>
        <v>43819.876602826167</v>
      </c>
      <c r="J20" s="58">
        <f t="shared" si="14"/>
        <v>48020.139822919031</v>
      </c>
      <c r="K20" s="59">
        <f t="shared" si="14"/>
        <v>52637.126838145596</v>
      </c>
      <c r="L20" s="60">
        <f t="shared" si="3"/>
        <v>9.7661161531802154E-2</v>
      </c>
    </row>
    <row r="21" spans="2:12" x14ac:dyDescent="0.45">
      <c r="G21" s="61"/>
      <c r="H21" s="61"/>
      <c r="I21" s="61"/>
      <c r="J21" s="61"/>
      <c r="K21" s="61"/>
    </row>
    <row r="22" spans="2:12" x14ac:dyDescent="0.45">
      <c r="G22" s="62"/>
      <c r="H22" s="63"/>
      <c r="I22" s="64"/>
    </row>
    <row r="25" spans="2:12" x14ac:dyDescent="0.45">
      <c r="B25" s="55" t="s">
        <v>48</v>
      </c>
      <c r="C25" s="65">
        <f t="shared" ref="C25:K25" si="15">C5</f>
        <v>2020</v>
      </c>
      <c r="D25" s="65">
        <f t="shared" si="15"/>
        <v>2021</v>
      </c>
      <c r="E25" s="65">
        <f t="shared" si="15"/>
        <v>2022</v>
      </c>
      <c r="F25" s="66">
        <f t="shared" si="15"/>
        <v>2023</v>
      </c>
      <c r="G25" s="67">
        <f t="shared" si="15"/>
        <v>2024</v>
      </c>
      <c r="H25" s="67">
        <f t="shared" si="15"/>
        <v>2025</v>
      </c>
      <c r="I25" s="67">
        <f t="shared" si="15"/>
        <v>2026</v>
      </c>
      <c r="J25" s="67">
        <f t="shared" si="15"/>
        <v>2027</v>
      </c>
      <c r="K25" s="67">
        <f t="shared" si="15"/>
        <v>2028</v>
      </c>
    </row>
    <row r="26" spans="2:12" x14ac:dyDescent="0.45">
      <c r="B26" s="227" t="s">
        <v>72</v>
      </c>
      <c r="C26" s="182">
        <f>'Kết quả kinh doanh '!C5/((('Cân đối kế toán '!C11+'Cân đối kế toán '!C12+'Cân đối kế toán '!C17+'Cân đối kế toán '!C21+'Cân đối kế toán '!C23)+('Cân đối kế toán '!B11+'Cân đối kế toán '!B12+'Cân đối kế toán '!B17+'Cân đối kế toán '!B21+'Cân đối kế toán '!B23))/2)</f>
        <v>5.5628880466611685E-2</v>
      </c>
      <c r="D26" s="68">
        <f>'Kết quả kinh doanh '!D5/((('Cân đối kế toán '!D11+'Cân đối kế toán '!D12+'Cân đối kế toán '!D17+'Cân đối kế toán '!D21+'Cân đối kế toán '!D23)+('Cân đối kế toán '!C11+'Cân đối kế toán '!C12+'Cân đối kế toán '!C17+'Cân đối kế toán '!C21+'Cân đối kế toán '!C23))/2)</f>
        <v>5.2753106001297373E-2</v>
      </c>
      <c r="E26" s="68">
        <f>'Kết quả kinh doanh '!E5/((('Cân đối kế toán '!E11+'Cân đối kế toán '!E12+'Cân đối kế toán '!E17+'Cân đối kế toán '!E21+'Cân đối kế toán '!E23)+('Cân đối kế toán '!D11+'Cân đối kế toán '!D12+'Cân đối kế toán '!D17+'Cân đối kế toán '!D21+'Cân đối kế toán '!D23))/2)</f>
        <v>5.62764284533495E-2</v>
      </c>
      <c r="F26" s="69">
        <f>'Kết quả kinh doanh '!F5/((('Cân đối kế toán '!F11+'Cân đối kế toán '!F12+'Cân đối kế toán '!F17+'Cân đối kế toán '!F21+'Cân đối kế toán '!F23)+('Cân đối kế toán '!E11+'Cân đối kế toán '!E12+'Cân đối kế toán '!E17+'Cân đối kế toán '!E21+'Cân đối kế toán '!E23))/2)</f>
        <v>6.0705340302042415E-2</v>
      </c>
      <c r="G26" s="70">
        <v>0.06</v>
      </c>
      <c r="H26" s="70">
        <f>G26</f>
        <v>0.06</v>
      </c>
      <c r="I26" s="70">
        <f t="shared" ref="I26:K27" si="16">H26</f>
        <v>0.06</v>
      </c>
      <c r="J26" s="70">
        <f t="shared" si="16"/>
        <v>0.06</v>
      </c>
      <c r="K26" s="70">
        <f t="shared" si="16"/>
        <v>0.06</v>
      </c>
    </row>
    <row r="27" spans="2:12" x14ac:dyDescent="0.45">
      <c r="B27" s="33" t="s">
        <v>73</v>
      </c>
      <c r="C27" s="183">
        <f>-'Thuyết minh'!C140/((('Cân đối kế toán '!C52+'Cân đối kế toán '!C53+'Cân đối kế toán '!C56+'Cân đối kế toán '!C59)+('Cân đối kế toán '!B52+'Cân đối kế toán '!B53+'Cân đối kế toán '!B56+'Cân đối kế toán '!B59))/2)</f>
        <v>2.8453433341699294E-2</v>
      </c>
      <c r="D27" s="71">
        <f>-'Thuyết minh'!D140/((('Cân đối kế toán '!D52+'Cân đối kế toán '!D53+'Cân đối kế toán '!D56+'Cân đối kế toán '!D59)+('Cân đối kế toán '!C52+'Cân đối kế toán '!C53+'Cân đối kế toán '!C56+'Cân đối kế toán '!C59))/2)</f>
        <v>2.2954483011531728E-2</v>
      </c>
      <c r="E27" s="71">
        <f>-'Thuyết minh'!E140/((('Cân đối kế toán '!E52+'Cân đối kế toán '!E53+'Cân đối kế toán '!E56+'Cân đối kế toán '!E59)+('Cân đối kế toán '!D52+'Cân đối kế toán '!D53+'Cân đối kế toán '!D56+'Cân đối kế toán '!D59))/2)</f>
        <v>2.4548754022003218E-2</v>
      </c>
      <c r="F27" s="72">
        <f>-'Thuyết minh'!F140/((('Cân đối kế toán '!F52+'Cân đối kế toán '!F53+'Cân đối kế toán '!F56+'Cân đối kế toán '!F59)+('Cân đối kế toán '!E52+'Cân đối kế toán '!E53+'Cân đối kế toán '!E56+'Cân đối kế toán '!E59))/2)</f>
        <v>3.4066019868598058E-2</v>
      </c>
      <c r="G27" s="73">
        <v>2.8000000000000001E-2</v>
      </c>
      <c r="H27" s="73">
        <f>G27</f>
        <v>2.8000000000000001E-2</v>
      </c>
      <c r="I27" s="73">
        <f t="shared" si="16"/>
        <v>2.8000000000000001E-2</v>
      </c>
      <c r="J27" s="73">
        <f t="shared" si="16"/>
        <v>2.8000000000000001E-2</v>
      </c>
      <c r="K27" s="73">
        <f t="shared" si="16"/>
        <v>2.8000000000000001E-2</v>
      </c>
    </row>
    <row r="28" spans="2:12" x14ac:dyDescent="0.45">
      <c r="B28" s="49" t="s">
        <v>74</v>
      </c>
      <c r="C28" s="183"/>
      <c r="D28" s="71">
        <f>D9/C9-1</f>
        <v>0.12104096110418205</v>
      </c>
      <c r="E28" s="71">
        <f t="shared" ref="E28:F28" si="17">E9/D9-1</f>
        <v>-7.6679816710325421E-2</v>
      </c>
      <c r="F28" s="72">
        <f t="shared" si="17"/>
        <v>-0.15490005994940859</v>
      </c>
      <c r="G28" s="73">
        <v>0.05</v>
      </c>
      <c r="H28" s="73">
        <f t="shared" ref="H28:K32" si="18">G28</f>
        <v>0.05</v>
      </c>
      <c r="I28" s="73">
        <f t="shared" si="18"/>
        <v>0.05</v>
      </c>
      <c r="J28" s="73">
        <f t="shared" si="18"/>
        <v>0.05</v>
      </c>
      <c r="K28" s="73">
        <f t="shared" si="18"/>
        <v>0.05</v>
      </c>
    </row>
    <row r="29" spans="2:12" x14ac:dyDescent="0.45">
      <c r="B29" s="49" t="s">
        <v>75</v>
      </c>
      <c r="C29" s="74"/>
      <c r="D29" s="74">
        <f>IFERROR(IF(OR(D10&lt;0,C10&lt;0),0,(D10/C10)-1),0)</f>
        <v>0.12427922338950936</v>
      </c>
      <c r="E29" s="74">
        <f t="shared" ref="E29:F30" si="19">IFERROR(IF(OR(E10&lt;0,D10&lt;0),0,(E10/D10)-1),0)</f>
        <v>0.30521087858185902</v>
      </c>
      <c r="F29" s="72">
        <f t="shared" si="19"/>
        <v>8.6138320017661307E-3</v>
      </c>
      <c r="G29" s="73">
        <v>0.08</v>
      </c>
      <c r="H29" s="73">
        <f t="shared" si="18"/>
        <v>0.08</v>
      </c>
      <c r="I29" s="73">
        <f t="shared" si="18"/>
        <v>0.08</v>
      </c>
      <c r="J29" s="73">
        <f t="shared" si="18"/>
        <v>0.08</v>
      </c>
      <c r="K29" s="73">
        <f t="shared" si="18"/>
        <v>0.08</v>
      </c>
    </row>
    <row r="30" spans="2:12" x14ac:dyDescent="0.45">
      <c r="B30" s="49" t="s">
        <v>76</v>
      </c>
      <c r="C30" s="74"/>
      <c r="D30" s="74">
        <f>IFERROR(IF(OR(D11&lt;0,C11&lt;0),0,(D11/C11)-1),0)</f>
        <v>0.11559453811794818</v>
      </c>
      <c r="E30" s="74">
        <f t="shared" si="19"/>
        <v>-0.1033161571751251</v>
      </c>
      <c r="F30" s="72">
        <f t="shared" si="19"/>
        <v>0.122095282127761</v>
      </c>
      <c r="G30" s="73">
        <v>0.05</v>
      </c>
      <c r="H30" s="73">
        <f t="shared" si="18"/>
        <v>0.05</v>
      </c>
      <c r="I30" s="73">
        <f t="shared" si="18"/>
        <v>0.05</v>
      </c>
      <c r="J30" s="73">
        <f t="shared" si="18"/>
        <v>0.05</v>
      </c>
      <c r="K30" s="73">
        <f t="shared" si="18"/>
        <v>0.05</v>
      </c>
    </row>
    <row r="31" spans="2:12" x14ac:dyDescent="0.45">
      <c r="B31" s="49" t="s">
        <v>77</v>
      </c>
      <c r="C31" s="183"/>
      <c r="D31" s="71">
        <f>-D15/('CĐKT-F'!D7+'CĐKT-F'!C7)</f>
        <v>6.7000903813676333E-3</v>
      </c>
      <c r="E31" s="71">
        <f>-E15/('CĐKT-F'!E7+'CĐKT-F'!D7)</f>
        <v>4.6053219111095453E-3</v>
      </c>
      <c r="F31" s="72">
        <f>-F15/('CĐKT-F'!F7+'CĐKT-F'!E7)</f>
        <v>1.9326626258638652E-3</v>
      </c>
      <c r="G31" s="73">
        <v>4.0000000000000001E-3</v>
      </c>
      <c r="H31" s="73">
        <f t="shared" si="18"/>
        <v>4.0000000000000001E-3</v>
      </c>
      <c r="I31" s="73">
        <f t="shared" si="18"/>
        <v>4.0000000000000001E-3</v>
      </c>
      <c r="J31" s="73">
        <f t="shared" si="18"/>
        <v>4.0000000000000001E-3</v>
      </c>
      <c r="K31" s="73">
        <f t="shared" si="18"/>
        <v>4.0000000000000001E-3</v>
      </c>
    </row>
    <row r="32" spans="2:12" x14ac:dyDescent="0.45">
      <c r="B32" s="49" t="s">
        <v>78</v>
      </c>
      <c r="C32" s="74">
        <f>-C17/C16</f>
        <v>0.1985739771790013</v>
      </c>
      <c r="D32" s="74">
        <f t="shared" ref="D32:F32" si="20">-D17/D16</f>
        <v>0.19897106750331711</v>
      </c>
      <c r="E32" s="74">
        <f t="shared" si="20"/>
        <v>0.19934218742937662</v>
      </c>
      <c r="F32" s="72">
        <f t="shared" si="20"/>
        <v>0.19855739376549922</v>
      </c>
      <c r="G32" s="73">
        <v>0.2</v>
      </c>
      <c r="H32" s="73">
        <f t="shared" si="18"/>
        <v>0.2</v>
      </c>
      <c r="I32" s="73">
        <f t="shared" si="18"/>
        <v>0.2</v>
      </c>
      <c r="J32" s="73">
        <f t="shared" si="18"/>
        <v>0.2</v>
      </c>
      <c r="K32" s="73">
        <f t="shared" si="18"/>
        <v>0.2</v>
      </c>
    </row>
  </sheetData>
  <mergeCells count="2">
    <mergeCell ref="C4:F4"/>
    <mergeCell ref="G4:K4"/>
  </mergeCells>
  <hyperlinks>
    <hyperlink ref="B1" location="Tổng!A1" display="BÁO CÁO | PHÂN TÍCH TÀI CHÍNH VINAMIL - QUẢN LÝ DỮ LIỆU BIỂU ĐỒ " xr:uid="{5134D6AC-C9EE-4822-8EC2-CBE523CBD21A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A9E5-195B-49EA-9D65-3F196BCBC82A}">
  <sheetPr>
    <tabColor theme="7"/>
  </sheetPr>
  <dimension ref="A1:H40"/>
  <sheetViews>
    <sheetView showGridLines="0" workbookViewId="0">
      <selection activeCell="C9" sqref="C9"/>
    </sheetView>
  </sheetViews>
  <sheetFormatPr defaultColWidth="7.8984375" defaultRowHeight="15.6" x14ac:dyDescent="0.3"/>
  <cols>
    <col min="1" max="1" width="7.8984375" style="16"/>
    <col min="2" max="2" width="44.69921875" style="16" bestFit="1" customWidth="1"/>
    <col min="3" max="3" width="13.5" style="16" bestFit="1" customWidth="1"/>
    <col min="4" max="4" width="15" style="16" bestFit="1" customWidth="1"/>
    <col min="5" max="5" width="24.8984375" style="16" bestFit="1" customWidth="1"/>
    <col min="6" max="6" width="20.09765625" style="16" bestFit="1" customWidth="1"/>
    <col min="7" max="7" width="20.796875" style="16" bestFit="1" customWidth="1"/>
    <col min="8" max="8" width="23.69921875" style="16" bestFit="1" customWidth="1"/>
    <col min="9" max="9" width="27.59765625" style="16" bestFit="1" customWidth="1"/>
    <col min="10" max="10" width="29.8984375" style="16" bestFit="1" customWidth="1"/>
    <col min="11" max="11" width="8" style="16" bestFit="1" customWidth="1"/>
    <col min="12" max="16384" width="7.8984375" style="16"/>
  </cols>
  <sheetData>
    <row r="1" spans="1:8" s="76" customFormat="1" ht="47.55" customHeight="1" x14ac:dyDescent="0.3">
      <c r="A1" s="75"/>
      <c r="B1" s="76" t="s">
        <v>79</v>
      </c>
    </row>
    <row r="3" spans="1:8" x14ac:dyDescent="0.3">
      <c r="B3" s="77" t="s">
        <v>80</v>
      </c>
    </row>
    <row r="5" spans="1:8" x14ac:dyDescent="0.3">
      <c r="B5" s="78" t="s">
        <v>81</v>
      </c>
      <c r="C5" s="79">
        <f>C20</f>
        <v>2023</v>
      </c>
      <c r="D5" s="80">
        <f>D20</f>
        <v>2024</v>
      </c>
    </row>
    <row r="6" spans="1:8" x14ac:dyDescent="0.3">
      <c r="B6" s="81" t="s">
        <v>82</v>
      </c>
      <c r="C6" s="82">
        <f>'CĐKT-F'!F15</f>
        <v>165012.666</v>
      </c>
      <c r="D6" s="83">
        <f>'CĐKT-F'!G15</f>
        <v>201544.88344062399</v>
      </c>
    </row>
    <row r="7" spans="1:8" x14ac:dyDescent="0.3">
      <c r="B7" s="84" t="s">
        <v>83</v>
      </c>
      <c r="C7" s="224">
        <v>5589.0912619999999</v>
      </c>
      <c r="D7" s="225">
        <f>C7</f>
        <v>5589.0912619999999</v>
      </c>
    </row>
    <row r="8" spans="1:8" x14ac:dyDescent="0.3">
      <c r="B8" s="81" t="s">
        <v>84</v>
      </c>
      <c r="C8" s="86">
        <f>C6/C7*10^3</f>
        <v>29524.060042088466</v>
      </c>
      <c r="D8" s="87">
        <f>D6/D7*10^3</f>
        <v>36060.403023103114</v>
      </c>
    </row>
    <row r="9" spans="1:8" x14ac:dyDescent="0.3">
      <c r="B9" s="84" t="s">
        <v>85</v>
      </c>
      <c r="C9" s="86">
        <v>92000</v>
      </c>
      <c r="D9" s="88"/>
    </row>
    <row r="10" spans="1:8" x14ac:dyDescent="0.3">
      <c r="B10" s="89" t="s">
        <v>86</v>
      </c>
      <c r="C10" s="90">
        <f>C9/C8</f>
        <v>3.1161025912035143</v>
      </c>
      <c r="D10" s="91">
        <v>3.8</v>
      </c>
    </row>
    <row r="12" spans="1:8" x14ac:dyDescent="0.3">
      <c r="B12" s="92" t="s">
        <v>87</v>
      </c>
      <c r="C12" s="92"/>
      <c r="D12" s="93">
        <f>(D10*D8)</f>
        <v>137029.53148779183</v>
      </c>
    </row>
    <row r="13" spans="1:8" x14ac:dyDescent="0.3">
      <c r="D13" s="94"/>
    </row>
    <row r="14" spans="1:8" x14ac:dyDescent="0.3">
      <c r="B14" s="77" t="s">
        <v>88</v>
      </c>
    </row>
    <row r="16" spans="1:8" x14ac:dyDescent="0.3">
      <c r="B16" s="78" t="s">
        <v>89</v>
      </c>
      <c r="C16" s="95"/>
      <c r="D16" s="96"/>
      <c r="E16" s="97"/>
      <c r="F16" s="97"/>
      <c r="G16" s="97"/>
      <c r="H16" s="97"/>
    </row>
    <row r="17" spans="2:8" x14ac:dyDescent="0.3">
      <c r="B17" s="98" t="s">
        <v>90</v>
      </c>
      <c r="C17" s="99"/>
      <c r="D17" s="100">
        <v>0.05</v>
      </c>
      <c r="E17" s="97"/>
      <c r="F17" s="97"/>
      <c r="G17" s="97"/>
      <c r="H17" s="97"/>
    </row>
    <row r="18" spans="2:8" x14ac:dyDescent="0.3">
      <c r="B18" s="101" t="s">
        <v>91</v>
      </c>
      <c r="C18" s="102"/>
      <c r="D18" s="103">
        <v>0.12</v>
      </c>
      <c r="E18" s="97"/>
      <c r="F18" s="97"/>
      <c r="G18" s="97"/>
      <c r="H18" s="97"/>
    </row>
    <row r="19" spans="2:8" x14ac:dyDescent="0.3">
      <c r="B19" s="104"/>
      <c r="C19" s="97"/>
      <c r="D19" s="97"/>
      <c r="E19" s="97"/>
      <c r="F19" s="97"/>
      <c r="G19" s="97"/>
      <c r="H19" s="97"/>
    </row>
    <row r="20" spans="2:8" x14ac:dyDescent="0.3">
      <c r="B20" s="78" t="s">
        <v>92</v>
      </c>
      <c r="C20" s="105">
        <v>2023</v>
      </c>
      <c r="D20" s="106">
        <v>2024</v>
      </c>
      <c r="E20" s="106">
        <v>2025</v>
      </c>
      <c r="F20" s="106">
        <v>2026</v>
      </c>
      <c r="G20" s="106">
        <v>2027</v>
      </c>
      <c r="H20" s="80">
        <v>2028</v>
      </c>
    </row>
    <row r="21" spans="2:8" x14ac:dyDescent="0.3">
      <c r="B21" s="81" t="s">
        <v>82</v>
      </c>
      <c r="C21" s="82">
        <f>'CĐKT-F'!F15</f>
        <v>165012.666</v>
      </c>
      <c r="D21" s="107">
        <f>'CĐKT-F'!G15</f>
        <v>201544.88344062399</v>
      </c>
      <c r="E21" s="107">
        <f>'CĐKT-F'!H15</f>
        <v>241546.31761011953</v>
      </c>
      <c r="F21" s="107">
        <f>'CĐKT-F'!I15</f>
        <v>285366.1942129457</v>
      </c>
      <c r="G21" s="107">
        <f>'CĐKT-F'!J15</f>
        <v>333386.33403586474</v>
      </c>
      <c r="H21" s="83">
        <f>'CĐKT-F'!K15</f>
        <v>386023.46087401034</v>
      </c>
    </row>
    <row r="22" spans="2:8" x14ac:dyDescent="0.3">
      <c r="B22" s="108" t="s">
        <v>93</v>
      </c>
      <c r="C22" s="109">
        <f>'KQKD-F'!F20</f>
        <v>33033.202999999987</v>
      </c>
      <c r="D22" s="110">
        <f>'KQKD-F'!G20</f>
        <v>36532.217440624001</v>
      </c>
      <c r="E22" s="110">
        <f>'KQKD-F'!H20</f>
        <v>40001.434169495522</v>
      </c>
      <c r="F22" s="110">
        <f>'KQKD-F'!I20</f>
        <v>43819.876602826167</v>
      </c>
      <c r="G22" s="110">
        <f>'KQKD-F'!J20</f>
        <v>48020.139822919031</v>
      </c>
      <c r="H22" s="111">
        <f>'KQKD-F'!K20</f>
        <v>52637.126838145596</v>
      </c>
    </row>
    <row r="23" spans="2:8" x14ac:dyDescent="0.3">
      <c r="B23" s="108" t="s">
        <v>94</v>
      </c>
      <c r="C23" s="112">
        <f>C7</f>
        <v>5589.0912619999999</v>
      </c>
      <c r="D23" s="113">
        <f>C23</f>
        <v>5589.0912619999999</v>
      </c>
      <c r="E23" s="113">
        <f t="shared" ref="E23:H23" si="0">D23</f>
        <v>5589.0912619999999</v>
      </c>
      <c r="F23" s="113">
        <f t="shared" si="0"/>
        <v>5589.0912619999999</v>
      </c>
      <c r="G23" s="113">
        <f t="shared" si="0"/>
        <v>5589.0912619999999</v>
      </c>
      <c r="H23" s="85">
        <f t="shared" si="0"/>
        <v>5589.0912619999999</v>
      </c>
    </row>
    <row r="24" spans="2:8" x14ac:dyDescent="0.3">
      <c r="B24" s="81" t="s">
        <v>95</v>
      </c>
      <c r="C24" s="114">
        <f>C22/C23*10^3</f>
        <v>5910.2994478890278</v>
      </c>
      <c r="D24" s="115">
        <f t="shared" ref="D24:H24" si="1">D22/D23*10^3</f>
        <v>6536.3429810146481</v>
      </c>
      <c r="E24" s="115">
        <f t="shared" si="1"/>
        <v>7157.0551086656278</v>
      </c>
      <c r="F24" s="115">
        <f t="shared" si="1"/>
        <v>7840.2506863245717</v>
      </c>
      <c r="G24" s="115">
        <f t="shared" si="1"/>
        <v>8591.7616249006296</v>
      </c>
      <c r="H24" s="116">
        <f t="shared" si="1"/>
        <v>9417.8327693489719</v>
      </c>
    </row>
    <row r="25" spans="2:8" x14ac:dyDescent="0.3">
      <c r="B25" s="81" t="s">
        <v>84</v>
      </c>
      <c r="C25" s="117">
        <f>C21/C23*10^3</f>
        <v>29524.060042088466</v>
      </c>
      <c r="D25" s="115">
        <f t="shared" ref="D25:H25" si="2">D21/D23*10^3</f>
        <v>36060.403023103114</v>
      </c>
      <c r="E25" s="115">
        <f t="shared" si="2"/>
        <v>43217.458131768741</v>
      </c>
      <c r="F25" s="115">
        <f t="shared" si="2"/>
        <v>51057.708818093321</v>
      </c>
      <c r="G25" s="115">
        <f t="shared" si="2"/>
        <v>59649.470442993952</v>
      </c>
      <c r="H25" s="116">
        <f t="shared" si="2"/>
        <v>69067.303212342915</v>
      </c>
    </row>
    <row r="26" spans="2:8" x14ac:dyDescent="0.3">
      <c r="B26" s="81" t="s">
        <v>96</v>
      </c>
      <c r="C26" s="118"/>
      <c r="D26" s="119">
        <f>D22/AVERAGE(C21:D21)</f>
        <v>0.19932595848249796</v>
      </c>
      <c r="E26" s="119">
        <f>E22/AVERAGE(D21:E21)</f>
        <v>0.18055621088677179</v>
      </c>
      <c r="F26" s="119">
        <f t="shared" ref="F26:H26" si="3">F22/AVERAGE(E21:F21)</f>
        <v>0.16632695417010965</v>
      </c>
      <c r="G26" s="119">
        <f t="shared" si="3"/>
        <v>0.15521597934743098</v>
      </c>
      <c r="H26" s="120">
        <f t="shared" si="3"/>
        <v>0.14633419564363806</v>
      </c>
    </row>
    <row r="27" spans="2:8" x14ac:dyDescent="0.3">
      <c r="B27" s="81" t="s">
        <v>97</v>
      </c>
      <c r="C27" s="118"/>
      <c r="D27" s="121">
        <f>(D26-$D$18)*C25</f>
        <v>2342.0243611334868</v>
      </c>
      <c r="E27" s="121">
        <f t="shared" ref="E27:H27" si="4">(E26-$D$18)*D25</f>
        <v>2183.6813701290152</v>
      </c>
      <c r="F27" s="121">
        <f t="shared" si="4"/>
        <v>2002.1332022190832</v>
      </c>
      <c r="G27" s="121">
        <f t="shared" si="4"/>
        <v>1798.0472192651191</v>
      </c>
      <c r="H27" s="116">
        <f t="shared" si="4"/>
        <v>1570.8208246852089</v>
      </c>
    </row>
    <row r="28" spans="2:8" x14ac:dyDescent="0.3">
      <c r="B28" s="81" t="s">
        <v>98</v>
      </c>
      <c r="C28" s="118"/>
      <c r="D28" s="122">
        <v>1</v>
      </c>
      <c r="E28" s="122">
        <f>(1+$D$18)^1</f>
        <v>1.1200000000000001</v>
      </c>
      <c r="F28" s="122">
        <f>(1+$D$18)^2</f>
        <v>1.2544000000000002</v>
      </c>
      <c r="G28" s="122">
        <f>(1+$D$18)^3</f>
        <v>1.4049280000000004</v>
      </c>
      <c r="H28" s="123">
        <f>(1+$D$18)^4</f>
        <v>1.5735193600000004</v>
      </c>
    </row>
    <row r="29" spans="2:8" x14ac:dyDescent="0.3">
      <c r="B29" s="81" t="s">
        <v>99</v>
      </c>
      <c r="C29" s="118"/>
      <c r="D29" s="121">
        <f>D27/D28</f>
        <v>2342.0243611334868</v>
      </c>
      <c r="E29" s="121">
        <f>E27/E28</f>
        <v>1949.7155090437634</v>
      </c>
      <c r="F29" s="121">
        <f t="shared" ref="F29:H29" si="5">F27/F28</f>
        <v>1596.088330850672</v>
      </c>
      <c r="G29" s="121">
        <f t="shared" si="5"/>
        <v>1279.8144953087408</v>
      </c>
      <c r="H29" s="116">
        <f t="shared" si="5"/>
        <v>998.28503202223612</v>
      </c>
    </row>
    <row r="30" spans="2:8" x14ac:dyDescent="0.3">
      <c r="B30" s="81" t="s">
        <v>100</v>
      </c>
      <c r="C30" s="82"/>
      <c r="D30" s="121">
        <f>SUM(D29:H29)</f>
        <v>8165.927728358899</v>
      </c>
      <c r="E30" s="124"/>
      <c r="F30" s="124"/>
      <c r="G30" s="124"/>
      <c r="H30" s="125"/>
    </row>
    <row r="31" spans="2:8" x14ac:dyDescent="0.3">
      <c r="B31" s="126" t="s">
        <v>101</v>
      </c>
      <c r="C31" s="127"/>
      <c r="D31" s="128">
        <f>((H27*(1+D17))/(D18-D17))/(1+D18)^5</f>
        <v>13369.888821726379</v>
      </c>
      <c r="E31" s="129"/>
      <c r="F31" s="129"/>
      <c r="G31" s="129"/>
      <c r="H31" s="130"/>
    </row>
    <row r="32" spans="2:8" x14ac:dyDescent="0.3">
      <c r="B32" s="118"/>
      <c r="C32" s="118"/>
      <c r="D32" s="118"/>
      <c r="E32" s="118"/>
      <c r="F32" s="118"/>
      <c r="G32" s="118"/>
      <c r="H32" s="118"/>
    </row>
    <row r="33" spans="2:8" x14ac:dyDescent="0.3">
      <c r="B33" s="92" t="s">
        <v>102</v>
      </c>
      <c r="C33" s="92"/>
      <c r="D33" s="93">
        <f>(D25+D30+D31)</f>
        <v>57596.219573188391</v>
      </c>
      <c r="E33" s="118"/>
      <c r="F33" s="118"/>
      <c r="G33" s="118"/>
      <c r="H33" s="118"/>
    </row>
    <row r="35" spans="2:8" x14ac:dyDescent="0.3">
      <c r="H35" s="112"/>
    </row>
    <row r="37" spans="2:8" x14ac:dyDescent="0.3">
      <c r="B37" s="92" t="s">
        <v>103</v>
      </c>
      <c r="C37" s="92" t="s">
        <v>104</v>
      </c>
      <c r="D37" s="131" t="s">
        <v>105</v>
      </c>
      <c r="E37" s="92" t="s">
        <v>106</v>
      </c>
    </row>
    <row r="38" spans="2:8" x14ac:dyDescent="0.3">
      <c r="B38" s="84" t="s">
        <v>107</v>
      </c>
      <c r="C38" s="132">
        <f>D33</f>
        <v>57596.219573188391</v>
      </c>
      <c r="D38" s="133">
        <v>0.5</v>
      </c>
      <c r="E38" s="134">
        <f>D38*C38</f>
        <v>28798.109786594196</v>
      </c>
    </row>
    <row r="39" spans="2:8" x14ac:dyDescent="0.3">
      <c r="B39" s="84" t="s">
        <v>86</v>
      </c>
      <c r="C39" s="132">
        <f>D12</f>
        <v>137029.53148779183</v>
      </c>
      <c r="D39" s="133">
        <v>0.5</v>
      </c>
      <c r="E39" s="134">
        <f>D39*C39</f>
        <v>68514.765743895914</v>
      </c>
    </row>
    <row r="40" spans="2:8" x14ac:dyDescent="0.3">
      <c r="B40" s="135" t="s">
        <v>108</v>
      </c>
      <c r="C40" s="136"/>
      <c r="D40" s="136"/>
      <c r="E40" s="137">
        <f>SUM(E38:E39)</f>
        <v>97312.875530490113</v>
      </c>
    </row>
  </sheetData>
  <dataValidations count="1">
    <dataValidation allowBlank="1" showErrorMessage="1" promptTitle="PB dự phóng" prompt="Nhập dự phóng từ công ty chứng khoán" sqref="D10" xr:uid="{48EF492C-FBA1-4341-9A4E-9497607B4E62}"/>
  </dataValidations>
  <hyperlinks>
    <hyperlink ref="B1" location="Tổng!A1" display="BÁO CÁO | PHÂN TÍCH TÀI CHÍNH VINAMIL - QUẢN LÝ DỮ LIỆU BIỂU ĐỒ " xr:uid="{8BC555E2-C8D7-4C7F-AFEE-7B3230610EE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Cân đối kế toán </vt:lpstr>
      <vt:lpstr>Kết quả kinh doanh </vt:lpstr>
      <vt:lpstr>Thuyết minh</vt:lpstr>
      <vt:lpstr>Số liệu-Phân tích</vt:lpstr>
      <vt:lpstr>Biểu đồ-Phân tích</vt:lpstr>
      <vt:lpstr>CĐKT-F</vt:lpstr>
      <vt:lpstr>KQKD-F</vt:lpstr>
      <vt:lpstr>Định giá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Hằng Hồ</dc:creator>
  <cp:lastModifiedBy>Lien Dong</cp:lastModifiedBy>
  <dcterms:created xsi:type="dcterms:W3CDTF">2024-04-16T08:24:21Z</dcterms:created>
  <dcterms:modified xsi:type="dcterms:W3CDTF">2024-04-17T14:10:40Z</dcterms:modified>
</cp:coreProperties>
</file>