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2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3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05" yWindow="-105" windowWidth="23250" windowHeight="12450" firstSheet="2" activeTab="2"/>
  </bookViews>
  <sheets>
    <sheet name="DASHBOARD" sheetId="8" r:id="rId1"/>
    <sheet name="BS" sheetId="2" r:id="rId2"/>
    <sheet name="CAR" sheetId="7" r:id="rId3"/>
    <sheet name="IS" sheetId="3" r:id="rId4"/>
    <sheet name="CF" sheetId="4" r:id="rId5"/>
    <sheet name="KEY RATIO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5" l="1"/>
  <c r="E44" i="5"/>
  <c r="D44" i="5"/>
  <c r="C44" i="5"/>
  <c r="F43" i="5"/>
  <c r="E43" i="5"/>
  <c r="D43" i="5"/>
  <c r="C43" i="5"/>
  <c r="F42" i="5"/>
  <c r="E42" i="5"/>
  <c r="D42" i="5"/>
  <c r="C42" i="5"/>
  <c r="F40" i="5"/>
  <c r="E40" i="5"/>
  <c r="D40" i="5"/>
  <c r="C40" i="5"/>
  <c r="F39" i="5"/>
  <c r="E39" i="5"/>
  <c r="D39" i="5"/>
  <c r="C39" i="5"/>
  <c r="I433" i="8"/>
  <c r="H433" i="8"/>
  <c r="G433" i="8"/>
  <c r="I432" i="8"/>
  <c r="H432" i="8"/>
  <c r="G432" i="8"/>
  <c r="I431" i="8"/>
  <c r="H431" i="8"/>
  <c r="G431" i="8"/>
  <c r="I429" i="8"/>
  <c r="H429" i="8"/>
  <c r="G429" i="8"/>
  <c r="F429" i="8"/>
  <c r="E429" i="8"/>
  <c r="I428" i="8"/>
  <c r="H428" i="8"/>
  <c r="G428" i="8"/>
  <c r="F428" i="8"/>
  <c r="E428" i="8"/>
  <c r="I417" i="8"/>
  <c r="H417" i="8"/>
  <c r="G417" i="8"/>
  <c r="F417" i="8"/>
  <c r="E417" i="8"/>
  <c r="I413" i="8"/>
  <c r="H413" i="8"/>
  <c r="G413" i="8"/>
  <c r="F413" i="8"/>
  <c r="E413" i="8"/>
  <c r="I412" i="8"/>
  <c r="H412" i="8"/>
  <c r="G412" i="8"/>
  <c r="F412" i="8"/>
  <c r="E412" i="8"/>
  <c r="I409" i="8"/>
  <c r="H409" i="8"/>
  <c r="G409" i="8"/>
  <c r="F409" i="8"/>
  <c r="E409" i="8"/>
  <c r="I408" i="8"/>
  <c r="H408" i="8"/>
  <c r="G408" i="8"/>
  <c r="F408" i="8"/>
  <c r="E408" i="8"/>
  <c r="I392" i="8"/>
  <c r="H392" i="8"/>
  <c r="G392" i="8"/>
  <c r="F392" i="8"/>
  <c r="I391" i="8"/>
  <c r="H391" i="8"/>
  <c r="G391" i="8"/>
  <c r="F391" i="8"/>
  <c r="I390" i="8"/>
  <c r="H390" i="8"/>
  <c r="G390" i="8"/>
  <c r="F390" i="8"/>
  <c r="I389" i="8"/>
  <c r="H389" i="8"/>
  <c r="G389" i="8"/>
  <c r="F389" i="8"/>
  <c r="I388" i="8"/>
  <c r="H388" i="8"/>
  <c r="G388" i="8"/>
  <c r="F388" i="8"/>
  <c r="I384" i="8"/>
  <c r="H384" i="8"/>
  <c r="G384" i="8"/>
  <c r="F384" i="8"/>
  <c r="E384" i="8"/>
  <c r="I381" i="8"/>
  <c r="H381" i="8"/>
  <c r="G381" i="8"/>
  <c r="F381" i="8"/>
  <c r="E381" i="8"/>
  <c r="I380" i="8"/>
  <c r="H380" i="8"/>
  <c r="G380" i="8"/>
  <c r="F380" i="8"/>
  <c r="E380" i="8"/>
  <c r="I377" i="8"/>
  <c r="H377" i="8"/>
  <c r="G377" i="8"/>
  <c r="F377" i="8"/>
  <c r="I376" i="8"/>
  <c r="H376" i="8"/>
  <c r="G376" i="8"/>
  <c r="F376" i="8"/>
  <c r="E377" i="8"/>
  <c r="E376" i="8"/>
  <c r="I373" i="8"/>
  <c r="H373" i="8"/>
  <c r="G373" i="8"/>
  <c r="F373" i="8"/>
  <c r="E373" i="8"/>
  <c r="I356" i="8"/>
  <c r="H356" i="8"/>
  <c r="G356" i="8"/>
  <c r="F356" i="8"/>
  <c r="E356" i="8"/>
  <c r="I355" i="8"/>
  <c r="H355" i="8"/>
  <c r="G355" i="8"/>
  <c r="F355" i="8"/>
  <c r="E355" i="8"/>
  <c r="I354" i="8"/>
  <c r="H354" i="8"/>
  <c r="G354" i="8"/>
  <c r="F354" i="8"/>
  <c r="E354" i="8"/>
  <c r="I353" i="8"/>
  <c r="H353" i="8"/>
  <c r="G353" i="8"/>
  <c r="F353" i="8"/>
  <c r="E353" i="8"/>
  <c r="I349" i="8"/>
  <c r="H349" i="8"/>
  <c r="G349" i="8"/>
  <c r="F349" i="8"/>
  <c r="E349" i="8"/>
  <c r="I346" i="8"/>
  <c r="H346" i="8"/>
  <c r="G346" i="8"/>
  <c r="F346" i="8"/>
  <c r="E346" i="8"/>
  <c r="I345" i="8"/>
  <c r="H345" i="8"/>
  <c r="G345" i="8"/>
  <c r="F345" i="8"/>
  <c r="E345" i="8"/>
  <c r="I344" i="8"/>
  <c r="H344" i="8"/>
  <c r="G344" i="8"/>
  <c r="F344" i="8"/>
  <c r="E344" i="8"/>
  <c r="I343" i="8"/>
  <c r="H343" i="8"/>
  <c r="G343" i="8"/>
  <c r="F343" i="8"/>
  <c r="E343" i="8"/>
  <c r="I342" i="8"/>
  <c r="H342" i="8"/>
  <c r="G342" i="8"/>
  <c r="F342" i="8"/>
  <c r="E342" i="8"/>
  <c r="I341" i="8"/>
  <c r="H341" i="8"/>
  <c r="G341" i="8"/>
  <c r="F341" i="8"/>
  <c r="E341" i="8"/>
  <c r="I340" i="8"/>
  <c r="H340" i="8"/>
  <c r="G340" i="8"/>
  <c r="F340" i="8"/>
  <c r="E340" i="8"/>
  <c r="I339" i="8"/>
  <c r="H339" i="8"/>
  <c r="G339" i="8"/>
  <c r="F339" i="8"/>
  <c r="E339" i="8"/>
  <c r="I338" i="8"/>
  <c r="H338" i="8"/>
  <c r="G338" i="8"/>
  <c r="F338" i="8"/>
  <c r="E338" i="8"/>
  <c r="I326" i="8"/>
  <c r="H326" i="8"/>
  <c r="G326" i="8"/>
  <c r="F326" i="8"/>
  <c r="E326" i="8"/>
  <c r="C32" i="5"/>
  <c r="F335" i="8" s="1"/>
  <c r="I322" i="8"/>
  <c r="H322" i="8"/>
  <c r="G322" i="8"/>
  <c r="F322" i="8"/>
  <c r="E322" i="8"/>
  <c r="I321" i="8"/>
  <c r="H321" i="8"/>
  <c r="G321" i="8"/>
  <c r="F321" i="8"/>
  <c r="E321" i="8"/>
  <c r="I320" i="8"/>
  <c r="H320" i="8"/>
  <c r="G320" i="8"/>
  <c r="F320" i="8"/>
  <c r="E320" i="8"/>
  <c r="I319" i="8"/>
  <c r="H319" i="8"/>
  <c r="G319" i="8"/>
  <c r="F319" i="8"/>
  <c r="E319" i="8"/>
  <c r="I323" i="8"/>
  <c r="H323" i="8"/>
  <c r="G323" i="8"/>
  <c r="F323" i="8"/>
  <c r="E323" i="8"/>
  <c r="I311" i="8"/>
  <c r="H311" i="8"/>
  <c r="G311" i="8"/>
  <c r="F311" i="8"/>
  <c r="E311" i="8"/>
  <c r="I310" i="8"/>
  <c r="H310" i="8"/>
  <c r="G310" i="8"/>
  <c r="F310" i="8"/>
  <c r="E310" i="8"/>
  <c r="I309" i="8"/>
  <c r="H309" i="8"/>
  <c r="G309" i="8"/>
  <c r="F309" i="8"/>
  <c r="E309" i="8"/>
  <c r="I306" i="8"/>
  <c r="I402" i="8" s="1"/>
  <c r="H306" i="8"/>
  <c r="H402" i="8" s="1"/>
  <c r="G306" i="8"/>
  <c r="G402" i="8" s="1"/>
  <c r="F306" i="8"/>
  <c r="F402" i="8" s="1"/>
  <c r="E306" i="8"/>
  <c r="E402" i="8" s="1"/>
  <c r="I305" i="8"/>
  <c r="H305" i="8"/>
  <c r="G305" i="8"/>
  <c r="F305" i="8"/>
  <c r="E305" i="8"/>
  <c r="F39" i="7" l="1"/>
  <c r="E39" i="7"/>
  <c r="D39" i="7"/>
  <c r="C39" i="7"/>
  <c r="B39" i="7"/>
  <c r="F38" i="7"/>
  <c r="E38" i="7"/>
  <c r="D38" i="7"/>
  <c r="C38" i="7"/>
  <c r="B38" i="7"/>
  <c r="F19" i="7"/>
  <c r="E19" i="7"/>
  <c r="D19" i="7"/>
  <c r="C19" i="7"/>
  <c r="B19" i="7"/>
  <c r="F46" i="5"/>
  <c r="E46" i="5"/>
  <c r="D46" i="5"/>
  <c r="C46" i="5"/>
  <c r="F47" i="5"/>
  <c r="E47" i="5"/>
  <c r="D47" i="5"/>
  <c r="F15" i="2"/>
  <c r="E15" i="2"/>
  <c r="D15" i="2"/>
  <c r="C15" i="2"/>
  <c r="B15" i="2"/>
  <c r="F37" i="5" l="1"/>
  <c r="I418" i="8" s="1"/>
  <c r="E37" i="5"/>
  <c r="H418" i="8" s="1"/>
  <c r="D37" i="5"/>
  <c r="G418" i="8" s="1"/>
  <c r="C37" i="5"/>
  <c r="F418" i="8" s="1"/>
  <c r="F15" i="3"/>
  <c r="E15" i="3"/>
  <c r="D15" i="3"/>
  <c r="C15" i="3"/>
  <c r="B15" i="3"/>
  <c r="D61" i="5" l="1"/>
  <c r="F34" i="5"/>
  <c r="E34" i="5"/>
  <c r="D34" i="5"/>
  <c r="C34" i="5"/>
  <c r="F358" i="8" s="1"/>
  <c r="F33" i="5"/>
  <c r="F36" i="5" s="1"/>
  <c r="E33" i="5"/>
  <c r="E36" i="5" s="1"/>
  <c r="D33" i="5"/>
  <c r="D36" i="5" s="1"/>
  <c r="C33" i="5"/>
  <c r="F359" i="8" s="1"/>
  <c r="F32" i="5"/>
  <c r="I335" i="8" s="1"/>
  <c r="E32" i="5"/>
  <c r="H335" i="8" s="1"/>
  <c r="D32" i="5"/>
  <c r="G335" i="8" s="1"/>
  <c r="C47" i="5"/>
  <c r="C251" i="5"/>
  <c r="D251" i="5"/>
  <c r="E251" i="5"/>
  <c r="F251" i="5"/>
  <c r="F231" i="5"/>
  <c r="E231" i="5"/>
  <c r="D231" i="5"/>
  <c r="C231" i="5"/>
  <c r="F230" i="5"/>
  <c r="E230" i="5"/>
  <c r="D230" i="5"/>
  <c r="C230" i="5"/>
  <c r="F229" i="5"/>
  <c r="E229" i="5"/>
  <c r="D229" i="5"/>
  <c r="C229" i="5"/>
  <c r="F228" i="5"/>
  <c r="E228" i="5"/>
  <c r="D228" i="5"/>
  <c r="C228" i="5"/>
  <c r="F227" i="5"/>
  <c r="E227" i="5"/>
  <c r="D227" i="5"/>
  <c r="C227" i="5"/>
  <c r="F226" i="5"/>
  <c r="E226" i="5"/>
  <c r="D226" i="5"/>
  <c r="C226" i="5"/>
  <c r="F225" i="5"/>
  <c r="E225" i="5"/>
  <c r="D225" i="5"/>
  <c r="C225" i="5"/>
  <c r="F224" i="5"/>
  <c r="E224" i="5"/>
  <c r="D224" i="5"/>
  <c r="C224" i="5"/>
  <c r="F223" i="5"/>
  <c r="E223" i="5"/>
  <c r="D223" i="5"/>
  <c r="C223" i="5"/>
  <c r="F222" i="5"/>
  <c r="E222" i="5"/>
  <c r="D222" i="5"/>
  <c r="C222" i="5"/>
  <c r="F221" i="5"/>
  <c r="E221" i="5"/>
  <c r="D221" i="5"/>
  <c r="C221" i="5"/>
  <c r="F220" i="5"/>
  <c r="E220" i="5"/>
  <c r="D220" i="5"/>
  <c r="C220" i="5"/>
  <c r="F219" i="5"/>
  <c r="E219" i="5"/>
  <c r="D219" i="5"/>
  <c r="C219" i="5"/>
  <c r="F218" i="5"/>
  <c r="E218" i="5"/>
  <c r="D218" i="5"/>
  <c r="C218" i="5"/>
  <c r="F217" i="5"/>
  <c r="E217" i="5"/>
  <c r="D217" i="5"/>
  <c r="C217" i="5"/>
  <c r="F216" i="5"/>
  <c r="E216" i="5"/>
  <c r="D216" i="5"/>
  <c r="D109" i="5"/>
  <c r="F125" i="5"/>
  <c r="E125" i="5"/>
  <c r="D125" i="5"/>
  <c r="C125" i="5"/>
  <c r="F124" i="5"/>
  <c r="E124" i="5"/>
  <c r="D124" i="5"/>
  <c r="C124" i="5"/>
  <c r="F123" i="5"/>
  <c r="E123" i="5"/>
  <c r="D123" i="5"/>
  <c r="C123" i="5"/>
  <c r="F126" i="5"/>
  <c r="E126" i="5"/>
  <c r="D126" i="5"/>
  <c r="C126" i="5"/>
  <c r="F122" i="5"/>
  <c r="E122" i="5"/>
  <c r="D122" i="5"/>
  <c r="C122" i="5"/>
  <c r="F121" i="5"/>
  <c r="E121" i="5"/>
  <c r="D121" i="5"/>
  <c r="C121" i="5"/>
  <c r="F120" i="5"/>
  <c r="E120" i="5"/>
  <c r="D120" i="5"/>
  <c r="C120" i="5"/>
  <c r="F119" i="5"/>
  <c r="E119" i="5"/>
  <c r="D119" i="5"/>
  <c r="C119" i="5"/>
  <c r="F118" i="5"/>
  <c r="E118" i="5"/>
  <c r="D118" i="5"/>
  <c r="F101" i="5"/>
  <c r="E101" i="5"/>
  <c r="D101" i="5"/>
  <c r="C101" i="5"/>
  <c r="F100" i="5"/>
  <c r="E100" i="5"/>
  <c r="D100" i="5"/>
  <c r="C100" i="5"/>
  <c r="F98" i="5"/>
  <c r="E98" i="5"/>
  <c r="D98" i="5"/>
  <c r="C98" i="5"/>
  <c r="F99" i="5"/>
  <c r="E99" i="5"/>
  <c r="D99" i="5"/>
  <c r="C99" i="5"/>
  <c r="F97" i="5"/>
  <c r="E97" i="5"/>
  <c r="D97" i="5"/>
  <c r="C97" i="5"/>
  <c r="C94" i="5"/>
  <c r="F75" i="5"/>
  <c r="E75" i="5"/>
  <c r="D75" i="5"/>
  <c r="C75" i="5"/>
  <c r="F74" i="5"/>
  <c r="E74" i="5"/>
  <c r="D74" i="5"/>
  <c r="C74" i="5"/>
  <c r="C73" i="5"/>
  <c r="F73" i="5"/>
  <c r="E73" i="5"/>
  <c r="D73" i="5"/>
  <c r="F72" i="5"/>
  <c r="E72" i="5"/>
  <c r="D72" i="5"/>
  <c r="C72" i="5"/>
  <c r="C69" i="5"/>
  <c r="F67" i="5"/>
  <c r="E67" i="5"/>
  <c r="D67" i="5"/>
  <c r="C67" i="5"/>
  <c r="F66" i="5"/>
  <c r="E66" i="5"/>
  <c r="D66" i="5"/>
  <c r="C66" i="5"/>
  <c r="F65" i="5"/>
  <c r="E65" i="5"/>
  <c r="D65" i="5"/>
  <c r="C65" i="5"/>
  <c r="F64" i="5"/>
  <c r="E64" i="5"/>
  <c r="D64" i="5"/>
  <c r="C64" i="5"/>
  <c r="F63" i="5"/>
  <c r="E63" i="5"/>
  <c r="D63" i="5"/>
  <c r="C63" i="5"/>
  <c r="F62" i="5"/>
  <c r="E62" i="5"/>
  <c r="D62" i="5"/>
  <c r="C62" i="5"/>
  <c r="F61" i="5"/>
  <c r="E61" i="5"/>
  <c r="C61" i="5"/>
  <c r="F60" i="5"/>
  <c r="E60" i="5"/>
  <c r="D60" i="5"/>
  <c r="C60" i="5"/>
  <c r="F59" i="5"/>
  <c r="E59" i="5"/>
  <c r="D59" i="5"/>
  <c r="C59" i="5"/>
  <c r="F58" i="5"/>
  <c r="E58" i="5"/>
  <c r="D58" i="5"/>
  <c r="C58" i="5"/>
  <c r="F57" i="5"/>
  <c r="E57" i="5"/>
  <c r="D57" i="5"/>
  <c r="F29" i="5"/>
  <c r="I399" i="8" s="1"/>
  <c r="E29" i="5"/>
  <c r="H399" i="8" s="1"/>
  <c r="D29" i="5"/>
  <c r="G399" i="8" s="1"/>
  <c r="C29" i="5"/>
  <c r="F399" i="8" s="1"/>
  <c r="C18" i="5"/>
  <c r="F30" i="5"/>
  <c r="I403" i="8" s="1"/>
  <c r="E30" i="5"/>
  <c r="H403" i="8" s="1"/>
  <c r="D30" i="5"/>
  <c r="G403" i="8" s="1"/>
  <c r="C30" i="5"/>
  <c r="F403" i="8" s="1"/>
  <c r="C17" i="5"/>
  <c r="F18" i="5"/>
  <c r="E18" i="5"/>
  <c r="D18" i="5"/>
  <c r="F154" i="2"/>
  <c r="E154" i="2"/>
  <c r="D154" i="2"/>
  <c r="C154" i="2"/>
  <c r="C153" i="2"/>
  <c r="C135" i="2"/>
  <c r="C134" i="2"/>
  <c r="C131" i="2"/>
  <c r="C128" i="2"/>
  <c r="B113" i="2"/>
  <c r="C36" i="5" l="1"/>
  <c r="C138" i="2"/>
  <c r="C136" i="2"/>
  <c r="C137" i="2"/>
  <c r="B87" i="2"/>
  <c r="F57" i="2"/>
  <c r="B57" i="2"/>
  <c r="D17" i="5"/>
  <c r="F17" i="5"/>
  <c r="E17" i="5"/>
  <c r="F64" i="4"/>
  <c r="C63" i="4"/>
  <c r="B61" i="4"/>
  <c r="B60" i="4"/>
  <c r="B59" i="4"/>
  <c r="B58" i="4"/>
  <c r="B57" i="4"/>
  <c r="B56" i="4"/>
  <c r="F41" i="4"/>
  <c r="E41" i="4"/>
  <c r="D41" i="4"/>
  <c r="C41" i="4"/>
  <c r="B41" i="4"/>
  <c r="F33" i="3"/>
  <c r="E33" i="3"/>
  <c r="D33" i="3"/>
  <c r="C33" i="3"/>
  <c r="B33" i="3"/>
  <c r="C31" i="5"/>
  <c r="F162" i="5" l="1"/>
  <c r="F160" i="5"/>
  <c r="F158" i="5"/>
  <c r="F156" i="5"/>
  <c r="F154" i="5"/>
  <c r="F161" i="5"/>
  <c r="F159" i="5"/>
  <c r="F157" i="5"/>
  <c r="F155" i="5"/>
  <c r="D250" i="5"/>
  <c r="E250" i="5"/>
  <c r="F250" i="5"/>
  <c r="C250" i="5"/>
  <c r="D249" i="5"/>
  <c r="E249" i="5"/>
  <c r="F249" i="5"/>
  <c r="C249" i="5"/>
  <c r="D248" i="5"/>
  <c r="E248" i="5"/>
  <c r="F248" i="5"/>
  <c r="C248" i="5"/>
  <c r="D247" i="5"/>
  <c r="E247" i="5"/>
  <c r="F247" i="5"/>
  <c r="C247" i="5"/>
  <c r="D246" i="5"/>
  <c r="E246" i="5"/>
  <c r="F246" i="5"/>
  <c r="D245" i="5"/>
  <c r="E245" i="5"/>
  <c r="F245" i="5"/>
  <c r="C246" i="5"/>
  <c r="C245" i="5"/>
  <c r="D244" i="5"/>
  <c r="E244" i="5"/>
  <c r="F244" i="5"/>
  <c r="D243" i="5"/>
  <c r="E243" i="5"/>
  <c r="F243" i="5"/>
  <c r="C244" i="5"/>
  <c r="C243" i="5"/>
  <c r="D240" i="5"/>
  <c r="E240" i="5"/>
  <c r="F240" i="5"/>
  <c r="C240" i="5"/>
  <c r="D242" i="5"/>
  <c r="E242" i="5"/>
  <c r="F242" i="5"/>
  <c r="C242" i="5"/>
  <c r="D241" i="5"/>
  <c r="E241" i="5"/>
  <c r="F241" i="5"/>
  <c r="C241" i="5"/>
  <c r="D239" i="5"/>
  <c r="E239" i="5"/>
  <c r="F239" i="5"/>
  <c r="C239" i="5"/>
  <c r="D238" i="5"/>
  <c r="E238" i="5"/>
  <c r="F238" i="5"/>
  <c r="C238" i="5"/>
  <c r="D237" i="5"/>
  <c r="E237" i="5"/>
  <c r="F237" i="5"/>
  <c r="C237" i="5"/>
  <c r="C233" i="5"/>
  <c r="D233" i="5"/>
  <c r="E233" i="5"/>
  <c r="F233" i="5"/>
  <c r="C216" i="5"/>
  <c r="C185" i="5"/>
  <c r="D185" i="5"/>
  <c r="E185" i="5"/>
  <c r="F185" i="5"/>
  <c r="D184" i="5"/>
  <c r="E184" i="5"/>
  <c r="F184" i="5"/>
  <c r="C184" i="5"/>
  <c r="C179" i="5"/>
  <c r="D179" i="5"/>
  <c r="E179" i="5"/>
  <c r="F179" i="5"/>
  <c r="C180" i="5"/>
  <c r="D180" i="5"/>
  <c r="E180" i="5"/>
  <c r="F180" i="5"/>
  <c r="C181" i="5"/>
  <c r="D181" i="5"/>
  <c r="E181" i="5"/>
  <c r="F181" i="5"/>
  <c r="D178" i="5"/>
  <c r="E178" i="5"/>
  <c r="F178" i="5"/>
  <c r="C178" i="5"/>
  <c r="C130" i="5"/>
  <c r="D130" i="5"/>
  <c r="E130" i="5"/>
  <c r="F130" i="5"/>
  <c r="C131" i="5"/>
  <c r="D131" i="5"/>
  <c r="E131" i="5"/>
  <c r="F131" i="5"/>
  <c r="C132" i="5"/>
  <c r="D132" i="5"/>
  <c r="E132" i="5"/>
  <c r="F132" i="5"/>
  <c r="C133" i="5"/>
  <c r="D133" i="5"/>
  <c r="E133" i="5"/>
  <c r="F133" i="5"/>
  <c r="C134" i="5"/>
  <c r="D134" i="5"/>
  <c r="E134" i="5"/>
  <c r="F134" i="5"/>
  <c r="C135" i="5"/>
  <c r="D135" i="5"/>
  <c r="E135" i="5"/>
  <c r="F135" i="5"/>
  <c r="C136" i="5"/>
  <c r="D136" i="5"/>
  <c r="E136" i="5"/>
  <c r="F136" i="5"/>
  <c r="C137" i="5"/>
  <c r="D137" i="5"/>
  <c r="E137" i="5"/>
  <c r="F137" i="5"/>
  <c r="D129" i="5"/>
  <c r="E129" i="5"/>
  <c r="F129" i="5"/>
  <c r="C129" i="5"/>
  <c r="C118" i="5"/>
  <c r="C114" i="5"/>
  <c r="D114" i="5"/>
  <c r="E114" i="5"/>
  <c r="F114" i="5"/>
  <c r="C115" i="5"/>
  <c r="D115" i="5"/>
  <c r="E115" i="5"/>
  <c r="F115" i="5"/>
  <c r="D113" i="5"/>
  <c r="E113" i="5"/>
  <c r="F113" i="5"/>
  <c r="C113" i="5"/>
  <c r="C108" i="5"/>
  <c r="D108" i="5"/>
  <c r="E108" i="5"/>
  <c r="F108" i="5"/>
  <c r="C109" i="5"/>
  <c r="E109" i="5"/>
  <c r="F109" i="5"/>
  <c r="C110" i="5"/>
  <c r="D110" i="5"/>
  <c r="E110" i="5"/>
  <c r="F110" i="5"/>
  <c r="D107" i="5"/>
  <c r="E107" i="5"/>
  <c r="F107" i="5"/>
  <c r="C107" i="5"/>
  <c r="D106" i="5"/>
  <c r="E106" i="5"/>
  <c r="F106" i="5"/>
  <c r="C106" i="5"/>
  <c r="C70" i="5"/>
  <c r="D70" i="5"/>
  <c r="E70" i="5"/>
  <c r="F70" i="5"/>
  <c r="C71" i="5"/>
  <c r="D71" i="5"/>
  <c r="E71" i="5"/>
  <c r="F71" i="5"/>
  <c r="D69" i="5"/>
  <c r="E69" i="5"/>
  <c r="F69" i="5"/>
  <c r="C57" i="5"/>
  <c r="D31" i="5"/>
  <c r="E31" i="5"/>
  <c r="F31" i="5"/>
  <c r="F163" i="5" l="1"/>
  <c r="F369" i="8"/>
  <c r="G369" i="8"/>
  <c r="H369" i="8"/>
  <c r="I369" i="8"/>
  <c r="F370" i="8"/>
  <c r="G370" i="8"/>
  <c r="H370" i="8"/>
  <c r="I370" i="8"/>
  <c r="F371" i="8"/>
  <c r="G371" i="8"/>
  <c r="H371" i="8"/>
  <c r="I371" i="8"/>
  <c r="F372" i="8"/>
  <c r="G372" i="8"/>
  <c r="H372" i="8"/>
  <c r="I372" i="8"/>
  <c r="E372" i="8"/>
  <c r="E370" i="8"/>
  <c r="E371" i="8"/>
  <c r="E369" i="8"/>
  <c r="B371" i="8"/>
  <c r="B370" i="8"/>
  <c r="B369" i="8"/>
  <c r="B444" i="8" l="1"/>
  <c r="B443" i="8"/>
  <c r="B442" i="8"/>
  <c r="B441" i="8"/>
  <c r="B433" i="8"/>
  <c r="B432" i="8"/>
  <c r="B431" i="8"/>
  <c r="G359" i="8"/>
  <c r="H359" i="8"/>
  <c r="I359" i="8"/>
  <c r="G358" i="8"/>
  <c r="H358" i="8"/>
  <c r="I358" i="8"/>
  <c r="F406" i="8" l="1"/>
  <c r="G406" i="8"/>
  <c r="H406" i="8"/>
  <c r="I406" i="8"/>
  <c r="F407" i="8"/>
  <c r="G407" i="8"/>
  <c r="H407" i="8"/>
  <c r="I407" i="8"/>
  <c r="F410" i="8"/>
  <c r="G410" i="8"/>
  <c r="H410" i="8"/>
  <c r="I410" i="8"/>
  <c r="E410" i="8"/>
  <c r="E407" i="8"/>
  <c r="E406" i="8"/>
  <c r="B389" i="8"/>
  <c r="B390" i="8"/>
  <c r="B391" i="8"/>
  <c r="B392" i="8"/>
  <c r="B388" i="8"/>
  <c r="F363" i="8"/>
  <c r="F364" i="8" s="1"/>
  <c r="G363" i="8"/>
  <c r="G364" i="8" s="1"/>
  <c r="H363" i="8"/>
  <c r="H364" i="8" s="1"/>
  <c r="I363" i="8"/>
  <c r="I364" i="8" s="1"/>
  <c r="E363" i="8"/>
  <c r="B354" i="8"/>
  <c r="B355" i="8"/>
  <c r="B356" i="8"/>
  <c r="B353" i="8"/>
  <c r="G334" i="8"/>
  <c r="H334" i="8"/>
  <c r="I334" i="8"/>
  <c r="F334" i="8"/>
  <c r="F153" i="2" l="1"/>
  <c r="E153" i="2"/>
  <c r="D153" i="2"/>
  <c r="F150" i="2"/>
  <c r="F157" i="2" s="1"/>
  <c r="E150" i="2"/>
  <c r="D150" i="2"/>
  <c r="C150" i="2"/>
  <c r="C147" i="2"/>
  <c r="C156" i="2" s="1"/>
  <c r="D147" i="2"/>
  <c r="E147" i="2"/>
  <c r="F147" i="2"/>
  <c r="F156" i="2" s="1"/>
  <c r="C144" i="2"/>
  <c r="C155" i="2" s="1"/>
  <c r="D144" i="2"/>
  <c r="E144" i="2"/>
  <c r="F144" i="2"/>
  <c r="F155" i="2" s="1"/>
  <c r="H442" i="8" l="1"/>
  <c r="G442" i="8"/>
  <c r="G444" i="8"/>
  <c r="F441" i="8"/>
  <c r="G443" i="8"/>
  <c r="I442" i="8"/>
  <c r="F444" i="8"/>
  <c r="F442" i="8"/>
  <c r="H441" i="8"/>
  <c r="H444" i="8"/>
  <c r="H443" i="8"/>
  <c r="I443" i="8"/>
  <c r="I441" i="8"/>
  <c r="G441" i="8"/>
  <c r="F443" i="8"/>
  <c r="I444" i="8"/>
  <c r="H446" i="8"/>
  <c r="H447" i="8" s="1"/>
  <c r="G446" i="8"/>
  <c r="G447" i="8" s="1"/>
  <c r="F446" i="8"/>
  <c r="F447" i="8" s="1"/>
  <c r="I446" i="8"/>
  <c r="I447" i="8" s="1"/>
  <c r="B173" i="2" l="1"/>
  <c r="E331" i="8" s="1"/>
  <c r="C173" i="2"/>
  <c r="F331" i="8" s="1"/>
  <c r="D173" i="2"/>
  <c r="G331" i="8" s="1"/>
  <c r="E173" i="2"/>
  <c r="H331" i="8" s="1"/>
  <c r="F173" i="2"/>
  <c r="I331" i="8" s="1"/>
  <c r="E424" i="8"/>
  <c r="C113" i="2"/>
  <c r="F424" i="8" s="1"/>
  <c r="D113" i="2"/>
  <c r="G424" i="8" s="1"/>
  <c r="E113" i="2"/>
  <c r="H424" i="8" s="1"/>
  <c r="F113" i="2"/>
  <c r="I424" i="8" s="1"/>
  <c r="D135" i="2"/>
  <c r="E135" i="2"/>
  <c r="F135" i="2"/>
  <c r="D134" i="2"/>
  <c r="E134" i="2"/>
  <c r="F134" i="2"/>
  <c r="D131" i="2"/>
  <c r="E131" i="2"/>
  <c r="F131" i="2"/>
  <c r="D128" i="2"/>
  <c r="E128" i="2"/>
  <c r="F128" i="2"/>
  <c r="F202" i="5" l="1"/>
  <c r="E432" i="8"/>
  <c r="E210" i="5"/>
  <c r="E209" i="5"/>
  <c r="E208" i="5"/>
  <c r="E211" i="5"/>
  <c r="E202" i="5"/>
  <c r="F204" i="5"/>
  <c r="E203" i="5"/>
  <c r="F432" i="8"/>
  <c r="D203" i="5"/>
  <c r="E431" i="8"/>
  <c r="G202" i="5"/>
  <c r="G204" i="5"/>
  <c r="F431" i="8"/>
  <c r="D202" i="5"/>
  <c r="E204" i="5"/>
  <c r="G203" i="5"/>
  <c r="F433" i="8"/>
  <c r="D204" i="5"/>
  <c r="G211" i="5"/>
  <c r="G209" i="5"/>
  <c r="G210" i="5"/>
  <c r="G208" i="5"/>
  <c r="D209" i="5"/>
  <c r="D210" i="5"/>
  <c r="D208" i="5"/>
  <c r="D211" i="5"/>
  <c r="F203" i="5"/>
  <c r="E433" i="8"/>
  <c r="F209" i="5"/>
  <c r="F210" i="5"/>
  <c r="F208" i="5"/>
  <c r="F211" i="5"/>
  <c r="E435" i="8"/>
  <c r="F136" i="2"/>
  <c r="I435" i="8"/>
  <c r="I436" i="8" s="1"/>
  <c r="E136" i="2"/>
  <c r="H435" i="8"/>
  <c r="H436" i="8" s="1"/>
  <c r="D136" i="2"/>
  <c r="G435" i="8"/>
  <c r="G436" i="8" s="1"/>
  <c r="F435" i="8"/>
  <c r="F436" i="8" s="1"/>
  <c r="D157" i="2"/>
  <c r="D155" i="2"/>
  <c r="D158" i="2"/>
  <c r="D156" i="2"/>
  <c r="F158" i="2"/>
  <c r="E156" i="2"/>
  <c r="E155" i="2"/>
  <c r="E158" i="2"/>
  <c r="E157" i="2"/>
  <c r="C158" i="2"/>
  <c r="C157" i="2"/>
  <c r="F137" i="2"/>
  <c r="D137" i="2"/>
  <c r="D138" i="2"/>
  <c r="E137" i="2"/>
  <c r="F138" i="2"/>
  <c r="E138" i="2"/>
  <c r="B100" i="2"/>
  <c r="C100" i="2"/>
  <c r="D100" i="2"/>
  <c r="E100" i="2"/>
  <c r="F100" i="2"/>
  <c r="C167" i="2"/>
  <c r="D167" i="2"/>
  <c r="E167" i="2"/>
  <c r="F167" i="2"/>
  <c r="B167" i="2"/>
  <c r="C122" i="2"/>
  <c r="D122" i="2"/>
  <c r="E122" i="2"/>
  <c r="F122" i="2"/>
  <c r="B122" i="2"/>
  <c r="C76" i="2"/>
  <c r="F330" i="8" s="1"/>
  <c r="D76" i="2"/>
  <c r="G330" i="8" s="1"/>
  <c r="E76" i="2"/>
  <c r="H330" i="8" s="1"/>
  <c r="F76" i="2"/>
  <c r="I330" i="8" s="1"/>
  <c r="B76" i="2"/>
  <c r="E330" i="8" s="1"/>
  <c r="C60" i="4" l="1"/>
  <c r="D60" i="4"/>
  <c r="E60" i="4"/>
  <c r="C61" i="4"/>
  <c r="D61" i="4"/>
  <c r="E61" i="4"/>
  <c r="F61" i="4"/>
  <c r="F60" i="4"/>
  <c r="B49" i="4"/>
  <c r="C49" i="4"/>
  <c r="C58" i="4" s="1"/>
  <c r="D49" i="4"/>
  <c r="D58" i="4" s="1"/>
  <c r="E49" i="4"/>
  <c r="E58" i="4" s="1"/>
  <c r="F49" i="4"/>
  <c r="F58" i="4" s="1"/>
  <c r="C57" i="4"/>
  <c r="D57" i="4"/>
  <c r="E57" i="4"/>
  <c r="F57" i="4"/>
  <c r="D88" i="5" l="1"/>
  <c r="D82" i="5"/>
  <c r="D81" i="5"/>
  <c r="D89" i="5"/>
  <c r="D83" i="5"/>
  <c r="D80" i="5"/>
  <c r="D84" i="5"/>
  <c r="D85" i="5"/>
  <c r="D86" i="5"/>
  <c r="D87" i="5"/>
  <c r="C85" i="5"/>
  <c r="C86" i="5"/>
  <c r="C87" i="5"/>
  <c r="C88" i="5"/>
  <c r="C89" i="5"/>
  <c r="C82" i="5"/>
  <c r="C83" i="5"/>
  <c r="C81" i="5"/>
  <c r="C84" i="5"/>
  <c r="C80" i="5"/>
  <c r="D252" i="5"/>
  <c r="F102" i="5"/>
  <c r="F94" i="5"/>
  <c r="F95" i="5"/>
  <c r="F96" i="5"/>
  <c r="F76" i="5"/>
  <c r="F252" i="5"/>
  <c r="E252" i="5"/>
  <c r="C95" i="5"/>
  <c r="C96" i="5"/>
  <c r="C76" i="5"/>
  <c r="D96" i="5"/>
  <c r="D76" i="5"/>
  <c r="D102" i="5"/>
  <c r="D95" i="5"/>
  <c r="D94" i="5"/>
  <c r="F88" i="5"/>
  <c r="F89" i="5"/>
  <c r="F82" i="5"/>
  <c r="F80" i="5"/>
  <c r="F83" i="5"/>
  <c r="F81" i="5"/>
  <c r="F84" i="5"/>
  <c r="F85" i="5"/>
  <c r="F86" i="5"/>
  <c r="F87" i="5"/>
  <c r="C252" i="5"/>
  <c r="E76" i="5"/>
  <c r="E102" i="5"/>
  <c r="E95" i="5"/>
  <c r="E94" i="5"/>
  <c r="E96" i="5"/>
  <c r="E85" i="5"/>
  <c r="E86" i="5"/>
  <c r="E88" i="5"/>
  <c r="E81" i="5"/>
  <c r="E89" i="5"/>
  <c r="E82" i="5"/>
  <c r="E83" i="5"/>
  <c r="E87" i="5"/>
  <c r="E84" i="5"/>
  <c r="E80" i="5"/>
  <c r="C19" i="3"/>
  <c r="D19" i="3"/>
  <c r="D232" i="5" s="1"/>
  <c r="B19" i="3"/>
  <c r="B23" i="3" s="1"/>
  <c r="E19" i="3"/>
  <c r="F19" i="3"/>
  <c r="F232" i="5" s="1"/>
  <c r="B50" i="4"/>
  <c r="F56" i="4"/>
  <c r="F50" i="4"/>
  <c r="C56" i="4"/>
  <c r="C59" i="4" s="1"/>
  <c r="C50" i="4"/>
  <c r="C232" i="5" l="1"/>
  <c r="E232" i="5"/>
  <c r="C90" i="5"/>
  <c r="D90" i="5"/>
  <c r="C102" i="5"/>
  <c r="F90" i="5"/>
  <c r="E90" i="5"/>
  <c r="D23" i="3"/>
  <c r="G398" i="8" s="1"/>
  <c r="E23" i="3"/>
  <c r="C23" i="3"/>
  <c r="F398" i="8"/>
  <c r="E398" i="8"/>
  <c r="F23" i="3"/>
  <c r="E50" i="4"/>
  <c r="E56" i="4"/>
  <c r="E59" i="4" s="1"/>
  <c r="E65" i="4" s="1"/>
  <c r="D50" i="4"/>
  <c r="D56" i="4"/>
  <c r="D59" i="4" s="1"/>
  <c r="D65" i="4" s="1"/>
  <c r="C65" i="4"/>
  <c r="F59" i="4"/>
  <c r="F65" i="4" s="1"/>
  <c r="F91" i="2"/>
  <c r="F87" i="2"/>
  <c r="F68" i="2"/>
  <c r="F46" i="2"/>
  <c r="F41" i="2"/>
  <c r="E91" i="2"/>
  <c r="E87" i="2"/>
  <c r="E68" i="2"/>
  <c r="E57" i="2"/>
  <c r="E46" i="2"/>
  <c r="E41" i="2"/>
  <c r="D91" i="2"/>
  <c r="D87" i="2"/>
  <c r="D68" i="2"/>
  <c r="D57" i="2"/>
  <c r="D46" i="2"/>
  <c r="D41" i="2"/>
  <c r="C91" i="2"/>
  <c r="B91" i="2"/>
  <c r="C87" i="2"/>
  <c r="B68" i="2"/>
  <c r="C68" i="2"/>
  <c r="C57" i="2"/>
  <c r="E350" i="8"/>
  <c r="C41" i="2"/>
  <c r="B41" i="2"/>
  <c r="C46" i="2"/>
  <c r="B46" i="2"/>
  <c r="E161" i="5" l="1"/>
  <c r="E157" i="5"/>
  <c r="E162" i="5"/>
  <c r="E160" i="5"/>
  <c r="E158" i="5"/>
  <c r="E156" i="5"/>
  <c r="E154" i="5"/>
  <c r="E159" i="5"/>
  <c r="E155" i="5"/>
  <c r="C157" i="5"/>
  <c r="C155" i="5"/>
  <c r="C161" i="5"/>
  <c r="C159" i="5"/>
  <c r="C162" i="5"/>
  <c r="C160" i="5"/>
  <c r="C158" i="5"/>
  <c r="C156" i="5"/>
  <c r="C154" i="5"/>
  <c r="D155" i="5"/>
  <c r="D161" i="5"/>
  <c r="D157" i="5"/>
  <c r="D162" i="5"/>
  <c r="D160" i="5"/>
  <c r="D158" i="5"/>
  <c r="D156" i="5"/>
  <c r="D154" i="5"/>
  <c r="D159" i="5"/>
  <c r="C253" i="5"/>
  <c r="H398" i="8"/>
  <c r="D149" i="5"/>
  <c r="D116" i="5"/>
  <c r="D150" i="5"/>
  <c r="D151" i="5"/>
  <c r="D152" i="5"/>
  <c r="E147" i="5"/>
  <c r="E111" i="5"/>
  <c r="E143" i="5"/>
  <c r="E144" i="5"/>
  <c r="E145" i="5"/>
  <c r="E146" i="5"/>
  <c r="E142" i="5"/>
  <c r="F127" i="5"/>
  <c r="F253" i="5"/>
  <c r="F234" i="5"/>
  <c r="E253" i="5"/>
  <c r="E234" i="5"/>
  <c r="E127" i="5"/>
  <c r="E169" i="5"/>
  <c r="E170" i="5"/>
  <c r="E138" i="5"/>
  <c r="E171" i="5"/>
  <c r="E172" i="5"/>
  <c r="E173" i="5"/>
  <c r="E166" i="5"/>
  <c r="E167" i="5"/>
  <c r="E165" i="5"/>
  <c r="E168" i="5"/>
  <c r="C143" i="5"/>
  <c r="C144" i="5"/>
  <c r="C145" i="5"/>
  <c r="C146" i="5"/>
  <c r="C147" i="5"/>
  <c r="C142" i="5"/>
  <c r="C111" i="5"/>
  <c r="C197" i="5"/>
  <c r="C196" i="5"/>
  <c r="C186" i="5"/>
  <c r="E149" i="5"/>
  <c r="E150" i="5"/>
  <c r="E151" i="5"/>
  <c r="E152" i="5"/>
  <c r="E116" i="5"/>
  <c r="F171" i="5"/>
  <c r="F172" i="5"/>
  <c r="F173" i="5"/>
  <c r="F138" i="5"/>
  <c r="F166" i="5"/>
  <c r="F167" i="5"/>
  <c r="F165" i="5"/>
  <c r="F168" i="5"/>
  <c r="F169" i="5"/>
  <c r="F170" i="5"/>
  <c r="C173" i="5"/>
  <c r="C166" i="5"/>
  <c r="C167" i="5"/>
  <c r="C165" i="5"/>
  <c r="C168" i="5"/>
  <c r="C169" i="5"/>
  <c r="C170" i="5"/>
  <c r="C171" i="5"/>
  <c r="C172" i="5"/>
  <c r="C138" i="5"/>
  <c r="D127" i="5"/>
  <c r="E191" i="5"/>
  <c r="E192" i="5"/>
  <c r="E190" i="5"/>
  <c r="E193" i="5"/>
  <c r="E182" i="5"/>
  <c r="C234" i="5"/>
  <c r="F192" i="5"/>
  <c r="F193" i="5"/>
  <c r="F190" i="5"/>
  <c r="F182" i="5"/>
  <c r="F191" i="5"/>
  <c r="C127" i="5"/>
  <c r="D167" i="5"/>
  <c r="D165" i="5"/>
  <c r="D138" i="5"/>
  <c r="D168" i="5"/>
  <c r="D169" i="5"/>
  <c r="D170" i="5"/>
  <c r="D171" i="5"/>
  <c r="D172" i="5"/>
  <c r="D173" i="5"/>
  <c r="D166" i="5"/>
  <c r="E196" i="5"/>
  <c r="E186" i="5"/>
  <c r="E197" i="5"/>
  <c r="D142" i="5"/>
  <c r="D111" i="5"/>
  <c r="D143" i="5"/>
  <c r="D144" i="5"/>
  <c r="D145" i="5"/>
  <c r="D146" i="5"/>
  <c r="D147" i="5"/>
  <c r="D192" i="5"/>
  <c r="D193" i="5"/>
  <c r="D182" i="5"/>
  <c r="D190" i="5"/>
  <c r="D191" i="5"/>
  <c r="F144" i="5"/>
  <c r="F145" i="5"/>
  <c r="F111" i="5"/>
  <c r="F146" i="5"/>
  <c r="F147" i="5"/>
  <c r="F142" i="5"/>
  <c r="F143" i="5"/>
  <c r="F186" i="5"/>
  <c r="F197" i="5"/>
  <c r="F196" i="5"/>
  <c r="C150" i="5"/>
  <c r="C116" i="5"/>
  <c r="C151" i="5"/>
  <c r="C152" i="5"/>
  <c r="C149" i="5"/>
  <c r="C193" i="5"/>
  <c r="C190" i="5"/>
  <c r="C182" i="5"/>
  <c r="C191" i="5"/>
  <c r="C192" i="5"/>
  <c r="D186" i="5"/>
  <c r="D197" i="5"/>
  <c r="D196" i="5"/>
  <c r="F151" i="5"/>
  <c r="F149" i="5"/>
  <c r="F152" i="5"/>
  <c r="F116" i="5"/>
  <c r="F150" i="5"/>
  <c r="D253" i="5"/>
  <c r="D234" i="5"/>
  <c r="I398" i="8"/>
  <c r="H425" i="8"/>
  <c r="F425" i="8"/>
  <c r="G425" i="8"/>
  <c r="I425" i="8"/>
  <c r="E425" i="8"/>
  <c r="F350" i="8"/>
  <c r="G350" i="8"/>
  <c r="I350" i="8"/>
  <c r="H350" i="8"/>
  <c r="D66" i="4"/>
  <c r="C66" i="4"/>
  <c r="D64" i="4"/>
  <c r="F66" i="4"/>
  <c r="C64" i="4"/>
  <c r="E64" i="4"/>
  <c r="D63" i="4"/>
  <c r="E63" i="4"/>
  <c r="F63" i="4"/>
  <c r="E66" i="4"/>
  <c r="D198" i="5" l="1"/>
  <c r="E163" i="5"/>
  <c r="D163" i="5"/>
  <c r="C163" i="5"/>
  <c r="E198" i="5"/>
  <c r="C198" i="5"/>
  <c r="D174" i="5"/>
  <c r="C174" i="5"/>
  <c r="D194" i="5"/>
  <c r="F194" i="5"/>
  <c r="F198" i="5"/>
  <c r="E194" i="5"/>
  <c r="E174" i="5"/>
  <c r="C194" i="5"/>
  <c r="F174" i="5"/>
</calcChain>
</file>

<file path=xl/sharedStrings.xml><?xml version="1.0" encoding="utf-8"?>
<sst xmlns="http://schemas.openxmlformats.org/spreadsheetml/2006/main" count="674" uniqueCount="451">
  <si>
    <t>DASHBOARD TÌNH HÌNH TÀI CHÍNH NGÂN HÀNG</t>
  </si>
  <si>
    <t>AN TOÀN VỐN</t>
  </si>
  <si>
    <t>HIỆU QUẢ SỬ DỤNG TÀI SẢN</t>
  </si>
  <si>
    <t>ĐẶC ĐIỂM DANH MỤC HUY ĐỘNG</t>
  </si>
  <si>
    <t>CHẤT LƯỢNG LỢI NHUẬN</t>
  </si>
  <si>
    <t>THANH KHOẢN</t>
  </si>
  <si>
    <t>RỦI RO THANH KHOẢN</t>
  </si>
  <si>
    <t>RỦI RO LÃI SUẤT</t>
  </si>
  <si>
    <t>TÓM TẮT CÁC CHỈ SỐ TÀI CHÍNH CỦA NGÂN HÀNG</t>
  </si>
  <si>
    <t>Đòn bẩy tài chính của ngân hàng</t>
  </si>
  <si>
    <t>Vốn chủ sở hữu</t>
  </si>
  <si>
    <t>Đòn bẩy tài chính (A/E)</t>
  </si>
  <si>
    <t>An toàn vốn theo chuẩn Basel 2</t>
  </si>
  <si>
    <t>Vốn cấp 1</t>
  </si>
  <si>
    <t>Vốn cấp 2</t>
  </si>
  <si>
    <t>Hệ số CAR</t>
  </si>
  <si>
    <t>Thay đổi tỷ lệ sở hữu của nhà nước</t>
  </si>
  <si>
    <t>Tỷ lệ sở hữu của nhà nước</t>
  </si>
  <si>
    <t>Thanh khoản của ngân hàng</t>
  </si>
  <si>
    <t>Dự trữ thanh khoản</t>
  </si>
  <si>
    <t xml:space="preserve">Vay </t>
  </si>
  <si>
    <t>Đầu tư</t>
  </si>
  <si>
    <t>Tài sản cố định</t>
  </si>
  <si>
    <t>Tài sản có khác</t>
  </si>
  <si>
    <t>Hiệu quả sử dụng tài sản</t>
  </si>
  <si>
    <t>Tỷ lệ tài sản sinh lãi</t>
  </si>
  <si>
    <t>Tỷ lệ cho vay trên huy đồng (LDR)</t>
  </si>
  <si>
    <t>Hiệu quả quản lý hoạt động tín dụng</t>
  </si>
  <si>
    <t>Tỷ lệ nợ xấu</t>
  </si>
  <si>
    <t>Khả năng bù đắp nợ xấu</t>
  </si>
  <si>
    <t>Hiệu quả hoạt động tín dụng</t>
  </si>
  <si>
    <t>Tăng trưởng tín dụng</t>
  </si>
  <si>
    <t>NIM</t>
  </si>
  <si>
    <t>Cơ cấu dư nợ theo nhóm ngành</t>
  </si>
  <si>
    <t>Công nghiệp</t>
  </si>
  <si>
    <t>Tiện ích điện nước</t>
  </si>
  <si>
    <t>Xây dựng</t>
  </si>
  <si>
    <t>Vận tải kho bãi</t>
  </si>
  <si>
    <t>Khai khoáng</t>
  </si>
  <si>
    <t>Nông, lâm, thủy hải sản</t>
  </si>
  <si>
    <t>Nhà hàng, khách sạn</t>
  </si>
  <si>
    <t>Thương mại dịch vụ</t>
  </si>
  <si>
    <t>Dư nợ khác</t>
  </si>
  <si>
    <t>Cơ cấu dư nợ theo khách hàng theo nhóm ngành</t>
  </si>
  <si>
    <t>Khách hàng cá nhân</t>
  </si>
  <si>
    <t>Khách hàng doanh nghiệp</t>
  </si>
  <si>
    <t>Cơ cấu các khoản đầu tư</t>
  </si>
  <si>
    <t>Chi phí huy động và chi phí cho vay</t>
  </si>
  <si>
    <t>Chi phí huy động trung bình - COF</t>
  </si>
  <si>
    <t>Chi phí cho vay trung bình - YEA</t>
  </si>
  <si>
    <t>Hiệu quả từ hoạt động đầu tư</t>
  </si>
  <si>
    <t>Lợi nhuận từ hoạt động đầu tư</t>
  </si>
  <si>
    <t>Tỷ lệ sinh lời từ hoạt động đầu tư</t>
  </si>
  <si>
    <t>Cơ cấu nguồn vốn huy động của ngân hàng</t>
  </si>
  <si>
    <t>Vốn tài trợ, uỷ thác của CP và TCTD khác</t>
  </si>
  <si>
    <t>Phát hành giấy tờ có giá</t>
  </si>
  <si>
    <t>Đặc điểm nguồn vốn huy động theo thị trường</t>
  </si>
  <si>
    <t>Thị trường 1</t>
  </si>
  <si>
    <t>Thị trường 2</t>
  </si>
  <si>
    <t>Đặc điểm nguồn vốn huy động theo khách hàng</t>
  </si>
  <si>
    <t>Cá nhân</t>
  </si>
  <si>
    <t>Tỷ lệ CASA</t>
  </si>
  <si>
    <t>Cơ cấu tiền gởi theo kỳ hạn</t>
  </si>
  <si>
    <t>Lợi nhuận cho cổ đông</t>
  </si>
  <si>
    <t>Lợi nhuận sau thuế</t>
  </si>
  <si>
    <t>ROE ( cột phải)</t>
  </si>
  <si>
    <t>Hiệu quả hoạt động và đòn bẩy tài chính</t>
  </si>
  <si>
    <t>ROA (cột phải)</t>
  </si>
  <si>
    <t>Tỷ trọng cơ cấu thu nhập của ngân hàng</t>
  </si>
  <si>
    <t>Thu nhập từ tín dụng</t>
  </si>
  <si>
    <t>Thu nhập từ dịch vụ</t>
  </si>
  <si>
    <t>Thu nhập từ đầu tư</t>
  </si>
  <si>
    <t>Thu nhập từ hoạt động kinh doanh ngoại hối</t>
  </si>
  <si>
    <t>Thu nhập từ hoạt động khác</t>
  </si>
  <si>
    <t>Trích lập DPRRTD</t>
  </si>
  <si>
    <t>Chi phí trích lập DPRRTD</t>
  </si>
  <si>
    <t>Chi phí trích lập DPRRTD trên Lợi nhuận từ HDKD</t>
  </si>
  <si>
    <t>Chi phí hoạt động của ngân hàng</t>
  </si>
  <si>
    <t>Chi phí hoạt động</t>
  </si>
  <si>
    <t>Tỷ lệ CIR</t>
  </si>
  <si>
    <t>Tỷ lệ dự trự thanh khoản (cột phải)</t>
  </si>
  <si>
    <t>LDR</t>
  </si>
  <si>
    <t>% Cho vay ngắn hạn</t>
  </si>
  <si>
    <t>Tình hình thanh khoản cuối năm</t>
  </si>
  <si>
    <t>Tình hình thanh khoản trong ngắn hạn</t>
  </si>
  <si>
    <t>Thanh khoản ròng kỳ hạn 1-3 tháng</t>
  </si>
  <si>
    <t>Tỷ lệ thanh khoản ròng kỳ hạn 1-3 tháng/tổng tài sản</t>
  </si>
  <si>
    <t>LÃI SUẤT</t>
  </si>
  <si>
    <t>Tình hình rủi ro lãi suất theo kỳ hạn</t>
  </si>
  <si>
    <t>Tình hình rủi ro lãi suất trong ngắn hạn</t>
  </si>
  <si>
    <t>Trạng thái lãi suất kỳ hạn 1-3 tháng</t>
  </si>
  <si>
    <t>Tỷ lệ trạng thái lãi suất ròng/tổng tài sản</t>
  </si>
  <si>
    <t>CÂN ĐỐI KẾ TOÁN</t>
  </si>
  <si>
    <t>2019</t>
  </si>
  <si>
    <t>2020</t>
  </si>
  <si>
    <t>2021</t>
  </si>
  <si>
    <t>2022</t>
  </si>
  <si>
    <t>2023</t>
  </si>
  <si>
    <t>TÀI SẢN</t>
  </si>
  <si>
    <t>Tiền mặt, vàng bạc, đá quý</t>
  </si>
  <si>
    <t>Tiền gửi tại Ngân hàng nhà nước</t>
  </si>
  <si>
    <t>Tiền gửi và cho vay các TCTD khác</t>
  </si>
  <si>
    <t>Chứng khoán kinh doanh ròng</t>
  </si>
  <si>
    <t>Các CCTC phái sinh và TSTC khác</t>
  </si>
  <si>
    <t>Cho vay khách hàng ròng</t>
  </si>
  <si>
    <t>Chứng khoán đầu tư</t>
  </si>
  <si>
    <t>Góp vốn, đầu tư dài hạn</t>
  </si>
  <si>
    <t>Tài sản Có khác</t>
  </si>
  <si>
    <t>TỔNG CỘNG TÀI SẢN</t>
  </si>
  <si>
    <t>NGUỒN VỐN</t>
  </si>
  <si>
    <t>Nợ phải trả</t>
  </si>
  <si>
    <t>Các khoản nợ Chính phủ và NHNN</t>
  </si>
  <si>
    <t>Tiền gửi và vay các TCTD khác</t>
  </si>
  <si>
    <t>Tiền gửi của khách hàng</t>
  </si>
  <si>
    <t>Các CCTC phái sinh và nợ tài chính khác</t>
  </si>
  <si>
    <t>Các khoản nợ khác</t>
  </si>
  <si>
    <t>Vốn của tổ chức tín dụng</t>
  </si>
  <si>
    <t>Quỹ của tổ chức tín dụng</t>
  </si>
  <si>
    <t>Chênh lệch đánh giá lại tài sản</t>
  </si>
  <si>
    <t>Chênh lệch tỷ giá hối đoái</t>
  </si>
  <si>
    <t>Lợi nhuận chưa phân phối lũy kế</t>
  </si>
  <si>
    <t>Lợi ích của cổ đông thiểu số</t>
  </si>
  <si>
    <t>TỔNG CỘNG NGUỒN VỐN</t>
  </si>
  <si>
    <t>SLCP (cổ phiếu)</t>
  </si>
  <si>
    <t>PHÂN TÍCH DANH MỤC TÍN DỤNG</t>
  </si>
  <si>
    <t>PHÂN THEO PHƯƠNG THỨC CẤP TD</t>
  </si>
  <si>
    <t>1. Cho vay các tổ chức kinh tế, cá nhân trong nước</t>
  </si>
  <si>
    <t>2. Cho vay chiết khấu công cụ chuyển nhượng và các giấy tờ có giá</t>
  </si>
  <si>
    <t>3. Cho thuê tài chính</t>
  </si>
  <si>
    <t>4. Các khoản trả thay khách hàng</t>
  </si>
  <si>
    <t>5. Cho vay đối với các tổ chức, cá nhân nước ngoài</t>
  </si>
  <si>
    <t xml:space="preserve">TỔNG </t>
  </si>
  <si>
    <t>PHÂN THEO THỜI HẠN</t>
  </si>
  <si>
    <t>Tín dụng ngắn hạn</t>
  </si>
  <si>
    <t>Tín dụng trung hạn</t>
  </si>
  <si>
    <t>Tín dụng dài hạn</t>
  </si>
  <si>
    <t>PHÂN THEO KHÁCH HÀNG</t>
  </si>
  <si>
    <t>1. Doanh nghiệp nhà nước</t>
  </si>
  <si>
    <t>2. CTCP khác, Công ty TNHH khác, Doanh nghiệp tư nhân, Công ty hợp danh</t>
  </si>
  <si>
    <t>3. Doanh nghiệp có vốn đầu tư nước ngoài</t>
  </si>
  <si>
    <t>4. Cá nhân, hộ kinh doanh</t>
  </si>
  <si>
    <t>5. Hợp tác xã và liên hiệp hợp tác xã</t>
  </si>
  <si>
    <t>6. Đơn vị hành chính sự nghiệp, Đảng, đoàn thể và hiệp hội</t>
  </si>
  <si>
    <t>7. Cho vay tại chi nhánh nước ngoài</t>
  </si>
  <si>
    <t>8. Cho khoản cho vay giao dịch ký quỹ và ứng trước cho khách hàng</t>
  </si>
  <si>
    <t>9. Thành phần kinh tế khác</t>
  </si>
  <si>
    <t>PHÂN TÍCH THEO NGÀNH</t>
  </si>
  <si>
    <t>1. Công nghiệp chế biến, chế tạo</t>
  </si>
  <si>
    <t>2. Sản xuất và phân phối điện, khí đốt và nước</t>
  </si>
  <si>
    <t>3. Xây dựng</t>
  </si>
  <si>
    <t>4. Vận tải kho bãi và thông tin liên lạc</t>
  </si>
  <si>
    <t>5. Khai khoáng</t>
  </si>
  <si>
    <t>6. Nông, lâm, thủy hải sản</t>
  </si>
  <si>
    <t>7. Nhà hàng, khách sạn</t>
  </si>
  <si>
    <t>8. Hoạt động dịch vụ khác/ Thương mại dịch vụ</t>
  </si>
  <si>
    <t>9. Dư nợ khác</t>
  </si>
  <si>
    <t>PHÂN TÍCH THEO CHẤT LƯỢNG TÍN DỤNG</t>
  </si>
  <si>
    <t>Nợ đủ tiêu chuẩn</t>
  </si>
  <si>
    <t>Nợ cần chú ý</t>
  </si>
  <si>
    <t>Nợ dưới tiêu chuẩn</t>
  </si>
  <si>
    <t>Nợ nghi ngờ</t>
  </si>
  <si>
    <t>Nợ có khả năng mất vốn</t>
  </si>
  <si>
    <t>Tổng nợ</t>
  </si>
  <si>
    <t>PHÂN TÍCH NGUỒN VỐN TIỀN GỬI</t>
  </si>
  <si>
    <t>PHÂN THEO  LOẠI TIỀN GỬI</t>
  </si>
  <si>
    <t>1. Tiền gửi không kỳ hạn</t>
  </si>
  <si>
    <t>2. Tiền gửi tiết kiệm và có kỳ hạn</t>
  </si>
  <si>
    <t>3. Tiền gửi vốn chuyên dùng</t>
  </si>
  <si>
    <t>4. Tiền gửi ký quỹ</t>
  </si>
  <si>
    <t>TỔNG</t>
  </si>
  <si>
    <t>PHÂN THEO KHÁCH  HÀNG</t>
  </si>
  <si>
    <t>TCKT</t>
  </si>
  <si>
    <t>PHÂN TÍCH CƠ CẤU KỲ HẠN CỦA TIỀN GỞI KHÁCH HÀNG</t>
  </si>
  <si>
    <t>Dưới 1 tháng</t>
  </si>
  <si>
    <t>Từ 1-3 tháng</t>
  </si>
  <si>
    <t>Từ 3-12 tháng</t>
  </si>
  <si>
    <t>Từ 1-5 năm</t>
  </si>
  <si>
    <t>Trên 5 năm</t>
  </si>
  <si>
    <t>CƠ CẤU DANH MỤC ĐẦU TƯ CỦA NGÂN HÀNG</t>
  </si>
  <si>
    <t>Chứng khoán kinh doanh</t>
  </si>
  <si>
    <t>Chứng khoán sẵn sàng bán</t>
  </si>
  <si>
    <t>Chứng khoán giữ đến ngày đáo hạn</t>
  </si>
  <si>
    <t>Góp vốn, đầu tư dài hạn khác</t>
  </si>
  <si>
    <t>KHẢ NĂNG DỰ TRỮ THANH KHOẢN CỦA NGÂN HÀNG</t>
  </si>
  <si>
    <t>Tiền quỹ</t>
  </si>
  <si>
    <t>Tiền gởi tại NHNN</t>
  </si>
  <si>
    <t>Tiền gởi tại TCTD</t>
  </si>
  <si>
    <t>HOẠT ĐỘNG NGOẠI BẢNG CỦA NGÂN HÀNG</t>
  </si>
  <si>
    <t>Bảo lãnh vay vốn</t>
  </si>
  <si>
    <t>Cam kết giao dịch ngoại hối</t>
  </si>
  <si>
    <t>Cam kết trong nghiệp vụ thư tín dụng</t>
  </si>
  <si>
    <t>Bảo lãnh khác</t>
  </si>
  <si>
    <t>Các cam kết khác</t>
  </si>
  <si>
    <t>Tổng cộng</t>
  </si>
  <si>
    <t>QUẢN LÝ RỦI RO THANH KHOẢN TRONG 12 THÁNG TỚI</t>
  </si>
  <si>
    <t>Tài sản đến hạn trong vòng 1 tháng tới</t>
  </si>
  <si>
    <t>Nợ đến hạn trong vòng 1 tháng tới</t>
  </si>
  <si>
    <t>Thanh khoản trong vòng 1 tháng tới</t>
  </si>
  <si>
    <t>Tài sản đến hạn từ 1-3 tháng tới</t>
  </si>
  <si>
    <t xml:space="preserve"> Nợ đến hạn từ 1-3 tháng tới</t>
  </si>
  <si>
    <t>Thanh khoản từ 1-3 tháng tới</t>
  </si>
  <si>
    <t>Tài sản đến hạn từ 3-12 tháng tới</t>
  </si>
  <si>
    <t xml:space="preserve"> Nợ đến hạn từ 3-12 tháng tới</t>
  </si>
  <si>
    <t>Thanh khoản từ 3-12 tháng tới</t>
  </si>
  <si>
    <t>Tổng tài sản</t>
  </si>
  <si>
    <t>Trạng tháng thanh khoản trong 1 tháng tới/Tổng tài sản</t>
  </si>
  <si>
    <t>Trạng tháng thanh khoản trong 1-3 tháng tới/Tổng tài sản</t>
  </si>
  <si>
    <t>Trạng tháng thanh khoản trong 3-12 tháng tới/Tổng tài sản</t>
  </si>
  <si>
    <t>QUẢN LÝ RỦI RO LÃI SUẤT TRONG VÒNG 12 THÁNG TỚI</t>
  </si>
  <si>
    <t>Tài sản chịu rủi ro lãi suất trong 1 tháng tới</t>
  </si>
  <si>
    <t>Nợ chịu rủi ro lãi suất trong 1 tháng tới</t>
  </si>
  <si>
    <t>Tài sản/Nợ ròng chịu rủi ro lãi suất trong 1 tháng tới</t>
  </si>
  <si>
    <t>Tài sản chịu rủi ro lãi suất từ 1-3 tháng tới</t>
  </si>
  <si>
    <t>Nợ chịu rủi ro lãi suất từ 1-3 tháng tới</t>
  </si>
  <si>
    <t>Tài sản/Nợ ròng chịu rủi ro lãi suất từ 1-3 tháng tới</t>
  </si>
  <si>
    <t>Tài sản chịu rủi ro lãi suất từ 3-6 tháng tới</t>
  </si>
  <si>
    <t>Nợ chịu rủi ro lãi suất từ 3-6 tháng tới</t>
  </si>
  <si>
    <t>Tài sản/Nợ ròng chịu rủi ro lãi suất từ 3-6 tháng tới</t>
  </si>
  <si>
    <t>Tài sản chịu rủi ro lãi suất từ 6-12 tháng tới</t>
  </si>
  <si>
    <t>Nợ chịu rủi ro lãi suất từ 6-12 tháng tới</t>
  </si>
  <si>
    <t>Tài sản/Nợ ròng chịu rủi ro lãi suất từ 6-12 tháng tới</t>
  </si>
  <si>
    <t>Tỷ trọng tài sản/nợ ròng chịu rủi ro lãi suất trong 1 tháng tới/tổng tài sản</t>
  </si>
  <si>
    <t>Tỷ trọng tài sản/nợ ròng chịu rủi ro lãi suất trong 1-3 tháng tới/tổng tài sản</t>
  </si>
  <si>
    <t>Tỷ trọng tài sản/nợ ròng chịu rủi ro lãi suất trong 3-6 tháng tới/tổng tài sản</t>
  </si>
  <si>
    <t>Tỷ trọng tài sản/nợ ròng chịu rủi ro lãi suất trong 6-12 tháng tới/tổng tài sản</t>
  </si>
  <si>
    <t>TÀI SẢN ĐẢM BẢO CỦA NGÂN HÀNG</t>
  </si>
  <si>
    <t>Tiền gởi</t>
  </si>
  <si>
    <t>giấy tờ có giá</t>
  </si>
  <si>
    <t>Bất động sản</t>
  </si>
  <si>
    <t>Tài sản được đảm bảo khác</t>
  </si>
  <si>
    <t>DỰ PHÒNG RỦI RO KHÁCH HÀNG</t>
  </si>
  <si>
    <t>Dự phòng chung</t>
  </si>
  <si>
    <t>Dự phòng cụ thể</t>
  </si>
  <si>
    <t>Trích lập dự phòng trong năm</t>
  </si>
  <si>
    <t>VỐN TỰ CÓ</t>
  </si>
  <si>
    <t>VỐN CẤP 1</t>
  </si>
  <si>
    <t>Vốn dự trữ bổ sung vốn điều lệ</t>
  </si>
  <si>
    <t>Các quỹ của ngân hàng</t>
  </si>
  <si>
    <t>Lợi nhuận chưa phân phối</t>
  </si>
  <si>
    <t>Chênh lệch tỷ giá hoái đoái</t>
  </si>
  <si>
    <t>Lợi thế thương mại</t>
  </si>
  <si>
    <t>Cổ phiếu quỹ</t>
  </si>
  <si>
    <t>Góp vốn vào các doanh nghiệp và tổ chức tín dụng khác</t>
  </si>
  <si>
    <t>VỐN CẤP 2</t>
  </si>
  <si>
    <t>50% Chênh lệch đánh giá lại tài sản</t>
  </si>
  <si>
    <t>Trái phiếu kỳ hạn trên 5 năm</t>
  </si>
  <si>
    <t>Phần giá trị chênh lệch dương giữa dự phòng chung và 1,25% của "Tổng tài sản có rủi ro" quy định tại Phụ lục </t>
  </si>
  <si>
    <t>Phần giá trị chênh lệch dương giữa khoản mục trái phiếu và 50% của vốn cấp 1</t>
  </si>
  <si>
    <t>Các khoản giảm trừ (đồng) (Y)</t>
  </si>
  <si>
    <t>TÀI SẢN CÓ RỦI RO</t>
  </si>
  <si>
    <t>Tiền mặt, vàng bạc, đá quý (Y)</t>
  </si>
  <si>
    <t>Khoản phải đòi Chính phủ (trong và ngoài nước) (Y)</t>
  </si>
  <si>
    <t>Khoản phải đòi Tổ chức tài chính (Y)</t>
  </si>
  <si>
    <t>Cho vay Thế chấp nhà ở (Y)</t>
  </si>
  <si>
    <t>Cho vay Đảm bảo bằng BĐS (Y)</t>
  </si>
  <si>
    <t>Danh mục cấp tín dụng bán lẻ (Y)</t>
  </si>
  <si>
    <t>Khoản phải đòi Doanh nghiệp (Y)</t>
  </si>
  <si>
    <t>Các khoản phải đòi khác (Y)</t>
  </si>
  <si>
    <t>Nợ xấu (Y)</t>
  </si>
  <si>
    <t>Cho thuê tài chính (Y)</t>
  </si>
  <si>
    <t>Các loại tài sản khác (Y)</t>
  </si>
  <si>
    <t>Tổng tài sản có rủi ro tín dụng (Y)</t>
  </si>
  <si>
    <t>Tổng tài sản có rủi ro tín dụng đối tác (đồng) (Y)</t>
  </si>
  <si>
    <t>Vốn yêu cầu cho rủi ro thị trường (đồng) (Y)</t>
  </si>
  <si>
    <t>Vốn yêu cầu cho rủi ro hoạt động (đồng) (Y)</t>
  </si>
  <si>
    <t>Tỷ lệ an toàn vốn cấp 1 (Y)</t>
  </si>
  <si>
    <t>Tỷ lệ an toàn vốn (Y)</t>
  </si>
  <si>
    <t>BÁO CÁO KQKD</t>
  </si>
  <si>
    <t>Thu nhập lãi thuần</t>
  </si>
  <si>
    <t>-TN từ lãi và các khoản TN tương tự</t>
  </si>
  <si>
    <t>-CP lãi và các CP tương tự</t>
  </si>
  <si>
    <t>Lãi/Lỗ thuần từ HĐ DV</t>
  </si>
  <si>
    <t>-TN từ hoạt động dịch vụ</t>
  </si>
  <si>
    <t>-CPhoạt động dịch vụ</t>
  </si>
  <si>
    <t>Lãi/Lỗ thuần từ HĐKDNH</t>
  </si>
  <si>
    <t>Lãi/Lỗ thuần từ MB CKKD</t>
  </si>
  <si>
    <t>Lãi/Lỗ thuần từ MB CKĐT</t>
  </si>
  <si>
    <t>Lãi/Lỗ thuần từ HĐ khác</t>
  </si>
  <si>
    <t>Chi phí hoạt động khác</t>
  </si>
  <si>
    <t>TN từ HĐ góp vốn mua CP</t>
  </si>
  <si>
    <t>Tổng thu nhập hoạt động</t>
  </si>
  <si>
    <t>Lợi nhuận từ HDKD trước CPDP RRTD</t>
  </si>
  <si>
    <t>Chi phí dự phòng RRTD</t>
  </si>
  <si>
    <t>Tổng lợi nhuận trước thuế</t>
  </si>
  <si>
    <t>Chi phí thuế TNDN</t>
  </si>
  <si>
    <t>Chi phí thuế TN hiện hành</t>
  </si>
  <si>
    <t>Chi phí thuế TNDN giữ lại</t>
  </si>
  <si>
    <t>LNST TNDN</t>
  </si>
  <si>
    <t>Lợi nhuận sau thuế Ngân hàng mẹ</t>
  </si>
  <si>
    <t>THU NHẬP BÌNH QUÂN THEO THỜI GIAN</t>
  </si>
  <si>
    <t>Tổng số cán bộ, công nhân viên</t>
  </si>
  <si>
    <t>Tổng quỹ lương và phụ cấp</t>
  </si>
  <si>
    <t>Thu nhập bình quân tháng/người (triệu VND)</t>
  </si>
  <si>
    <t>BÁO CÁO LCTT: PPTT</t>
  </si>
  <si>
    <t>LCTT từ HĐKD</t>
  </si>
  <si>
    <t>1. Thu nhập lãi và các khoản tương tự</t>
  </si>
  <si>
    <t>2. Chi phí lãi và các khoản tương tự</t>
  </si>
  <si>
    <t>3. Thu nhập từ HĐ dịch vụ nhận được</t>
  </si>
  <si>
    <t>4. Thu nhập từ HĐ kinh doanh ngoại tệ, vàng</t>
  </si>
  <si>
    <t>5. Thu nhập từ HĐ kinh doanh chứng khoán</t>
  </si>
  <si>
    <t>6. Thu nhập khác</t>
  </si>
  <si>
    <t>7. Tiền thu từ các khoản nợ đã được xử lý</t>
  </si>
  <si>
    <t>8. Tiền trả cho nhân viên và nhà cung cấp</t>
  </si>
  <si>
    <t>9. Tiền chi nộp thuế TNDN</t>
  </si>
  <si>
    <t>Tăng/giảm về tài sản hoạt động</t>
  </si>
  <si>
    <t>10. (Tăng)/Giảm về tiền gửi và cho vay TCTD khác</t>
  </si>
  <si>
    <t>11. (Tăng)/giảm về kinh doanh chứng khoán</t>
  </si>
  <si>
    <t>12. (Tăng)/Giảm CCTC phái sinh và TSTC khác</t>
  </si>
  <si>
    <t>13. (Tăng)/Giảm các khoản cho vay khách hàng</t>
  </si>
  <si>
    <t>14. (Tăng)/Giảm lãi, phí phải thu</t>
  </si>
  <si>
    <t>15. Tăng/(Giảm) nguồn dự phòng bù đắp tổn thất</t>
  </si>
  <si>
    <t>16. (Tăng)/Giảm khác về tài sản hoạt động</t>
  </si>
  <si>
    <t>Tăng giảm về nợ hoạt động</t>
  </si>
  <si>
    <t>17. Tăng/(Giảm) khoản nợ chính phủ và NHNN</t>
  </si>
  <si>
    <t>18. Tăng/(Giảm) khoản tiền gửi và vay TCTD khác</t>
  </si>
  <si>
    <t>19. Tăng/(Giảm) tiền gửi của khách hàng</t>
  </si>
  <si>
    <t>20. Tăng/(Giảm) CCTC phái sinh và nợ TC khác</t>
  </si>
  <si>
    <t>21. Tăng/(Giảm) phát hành giấy tờ có giá</t>
  </si>
  <si>
    <t>22. Tăng/(Giảm) vốn uỷ thác của CP và TCTD khác</t>
  </si>
  <si>
    <t>23. Tăng/(Giảm) lãi, phí phải trả</t>
  </si>
  <si>
    <t>24. Tăng/(Giảm) khác về công nợ hoạt động</t>
  </si>
  <si>
    <t>25. Tăng/(Giảm) chi từ các quỹ của TCTD</t>
  </si>
  <si>
    <t>LCTT thuần từ HĐKD</t>
  </si>
  <si>
    <t>Lưu chuyển tiền từ hoạt động đầu tư</t>
  </si>
  <si>
    <t>1. Tiền mua TSCĐ và các TSDH khác</t>
  </si>
  <si>
    <t>2. Tiền thu được từ thanh lý, nhượng bán TSCĐ</t>
  </si>
  <si>
    <t>3. Tiền chi từ thanh lý, nhượng bán TSCĐ</t>
  </si>
  <si>
    <t>4. Mua sắm Bất động sản đầu tư</t>
  </si>
  <si>
    <t>5. Tiền thu từ bán, thanh lý BĐS đầu tư</t>
  </si>
  <si>
    <t>6. Tiền chi cho việc bán, thanh lý BĐS đầu tư</t>
  </si>
  <si>
    <t>7. Tiền chi đầu tư, góp vốn vào đơn vị khác</t>
  </si>
  <si>
    <t>8. Tiền thu hồi đầu tư, góp vốn vào đơn vị khác</t>
  </si>
  <si>
    <t>9. Tiền thu từ cổ tức và lợi nhuận được chia</t>
  </si>
  <si>
    <t>Lưu chuyển tiền thuần từ hoạt động đầu tư</t>
  </si>
  <si>
    <t>Lưu chuyển tiền từ hoạt động tài chính</t>
  </si>
  <si>
    <t>1. Tiền thu từ phát hành cổ phiếu và vốn góp</t>
  </si>
  <si>
    <t>2. Tiền thu từ phát hành giấy tờ có giá dài hạn</t>
  </si>
  <si>
    <t>3. Tiền chi thanh toán giấy tờ có giá dài hạn</t>
  </si>
  <si>
    <t>4. Cổ tức đã trả cổ đông và lợi nhuận đã chia</t>
  </si>
  <si>
    <t>5. Tiền chi ra mua cổ phiếu quỹ</t>
  </si>
  <si>
    <t>6. Tiền thu được do bán cổ phiếu quỹ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</si>
  <si>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</si>
  <si>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</si>
  <si>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</si>
  <si>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</si>
  <si>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BÁO CÁO LCTT</t>
  </si>
  <si>
    <t>LCTT thuần từ hoạt động đầu tư</t>
  </si>
  <si>
    <t>LCTT thuần từ hoạt động tài chính</t>
  </si>
  <si>
    <t>LCTT thuần trong kỳ</t>
  </si>
  <si>
    <t>CƠ CẤU DÒNG TIỀN</t>
  </si>
  <si>
    <t xml:space="preserve">TÓM TẮT THÔNG TIN TÀI CHÍNH </t>
  </si>
  <si>
    <t>Đvt: triệu đồng</t>
  </si>
  <si>
    <t>KẾT QUẢ KINH DOANH</t>
  </si>
  <si>
    <t> Tổng thu nhập</t>
  </si>
  <si>
    <t> Tổng chi phí</t>
  </si>
  <si>
    <t> Lợi nhuận trước thuế</t>
  </si>
  <si>
    <t> Lợi nhuận sau thuế</t>
  </si>
  <si>
    <t> LNST của CĐ cty mẹ</t>
  </si>
  <si>
    <t> Tổng tài sản Có</t>
  </si>
  <si>
    <t> - Cho vay khách hàng ròng</t>
  </si>
  <si>
    <t> - Các khoản đầu tư (CKKD), CKĐT, Góp vốn dài hạn</t>
  </si>
  <si>
    <t> Tổng nợ phải trả</t>
  </si>
  <si>
    <t> - Tiền gửi (Khách hàng+TCTD)</t>
  </si>
  <si>
    <t> Vốn của TCTD</t>
  </si>
  <si>
    <t>CHỈ TIÊU CƠ BẢN</t>
  </si>
  <si>
    <t> ROA</t>
  </si>
  <si>
    <t> ROE</t>
  </si>
  <si>
    <t>Lãi cơ bản trên cổ phiếu - EPS (VND)</t>
  </si>
  <si>
    <t> BVPS</t>
  </si>
  <si>
    <t> P/E</t>
  </si>
  <si>
    <t>CÁC CHỈ SỐ TÀI CHÍNH</t>
  </si>
  <si>
    <t>Các tỷ số VCB</t>
  </si>
  <si>
    <t>Tỷ suất sinh lời</t>
  </si>
  <si>
    <t>Công thức</t>
  </si>
  <si>
    <t>ROE</t>
  </si>
  <si>
    <t>Lợi nhuận sau thuế / Trung bình vốn chủ sở hữu đầu kỳ và cuối kỳ</t>
  </si>
  <si>
    <t>ROA</t>
  </si>
  <si>
    <t>Lợi nhuận sau thuế / Trung bình tổng tài sản đầu kỳ và cuối kỳ</t>
  </si>
  <si>
    <t>NIM (CV)</t>
  </si>
  <si>
    <t>Thu nhập lãi thuần/ Trung bình Cho vay khách hàng đầu kỳ và cuối kỳ</t>
  </si>
  <si>
    <t>NIM (TSSL)</t>
  </si>
  <si>
    <t>Thu nhập lãi thuần/ Trung bình (Tiền gửi tại NHNN + Tiền gửi và cho vay các TCTD khác + Chứng khoán kinh doanh + Cho vay khách hàng + Chứng khoán đầu tư)</t>
  </si>
  <si>
    <t>YEA</t>
  </si>
  <si>
    <t>Thu nhập lãi và các khoản tương tự/ Trung bình (Tiền gửi tại NHNN + Tiền gửi và cho vay các TCTD khác + Chứng khoán kinh doanh + Cho vay khách hàng + Chứng khoán đầu tư)</t>
  </si>
  <si>
    <t>COF</t>
  </si>
  <si>
    <t>Chi phí lãi và các khoản tương tự/ Trung bình (Các khoản nợ chính phủ và NHNN + Tiền gửi và vay các TCTD khác + Tiền gửi của khách hàng + Phát hành giấy tờ có giá) đầu kỳ và cuối kỳ</t>
  </si>
  <si>
    <t>Hiệu quả hoạt động</t>
  </si>
  <si>
    <t>Chênh lệch lợi suất (YEA - COF)</t>
  </si>
  <si>
    <t>YEA - COF</t>
  </si>
  <si>
    <t>Tổng chi phí hoạt động / Tổng thu nhập hoạt động</t>
  </si>
  <si>
    <t>Chất lượng danh mục tài sản</t>
  </si>
  <si>
    <t>(Nợ dưới tiêu chuẩn + Nợ nghi ngờ + Nợ xấu có khả năng mất vốn) / Cho vay khách hàng</t>
  </si>
  <si>
    <t>Hệ số bao phủ nợ xấu (LLR)</t>
  </si>
  <si>
    <t>Dự phòng rủi ro cho vay khách hàng / (Nợ dưới tiêu chuẩn + Nợ nghi ngờ + Nợ xấu có khả năng mất vốn)</t>
  </si>
  <si>
    <t>Thanh khoản</t>
  </si>
  <si>
    <t>Tỷ lệ dự trữ</t>
  </si>
  <si>
    <t>Tiền gửi tại ngân hàng nhà nước / Tiền gửi của khách hàng</t>
  </si>
  <si>
    <t>Tỷ lệ cho vay/Huy động (LDR)*</t>
  </si>
  <si>
    <t>1. Tính đơn giản: Cho vay khách hàng/ (Tiền gửi của khách hàng + Tiền gửi của các TCTD khác + Phát hành giấy tờ có giá)
2. LDR tính đúng theo Thông tư 26/2022/TT-NHNN sửa đổi Thông tư 22/2019/TT-NHNN: (Cho vay khách hàng - Cho vay bằng vốn tài trợ, uỷ thác đầu tư - Cho vay theo chỉ định của Chính phủ) / (Tiền gửi của khách hàng + Tiền gửi của các TCTD khác - Tiền gửi vốn chuyên dụng - Tiền gửi ký quỹ + Phát hành giấy tờ có giá + Tiền gửi có kỳ hạn của KBNN *40%)</t>
  </si>
  <si>
    <t>(Tiền gửi không kỳ hạn + Tiền ký quỹ) / (Tiền gửi của khách hàng)</t>
  </si>
  <si>
    <t>Chỉ số đòn bẩy</t>
  </si>
  <si>
    <t>Nợ/ VCSH</t>
  </si>
  <si>
    <t>TTS/ VCSH</t>
  </si>
  <si>
    <t>Tổng tài sản / VCSH</t>
  </si>
  <si>
    <t>Giá trị thị trường</t>
  </si>
  <si>
    <t>EPS</t>
  </si>
  <si>
    <t>Lợi nhuận sau thuế công ty mẹ /Số lượng CPLH thời điểm gần nhất</t>
  </si>
  <si>
    <t>Book value/ số lượng CPLH mới nhất</t>
  </si>
  <si>
    <t>Giá đóng cửa đóng cửa/EPS</t>
  </si>
  <si>
    <t>PHÂN TÍCH BẢN CÂN ĐỐI KẾ TOÁN</t>
  </si>
  <si>
    <t>PHÂN TÍCH TĂNG TRƯỞNG TÀI SẢN &amp; NGUỒN VỐN</t>
  </si>
  <si>
    <t>I. Tiền mặt, vàng bạc, đá quý</t>
  </si>
  <si>
    <t>II. Tiền gửi tại Ngân hàng nhà nước</t>
  </si>
  <si>
    <t>III. Tiền gửi và cho vay các TCTD khác</t>
  </si>
  <si>
    <t>IV. Chứng khoán kinh doanh ròng</t>
  </si>
  <si>
    <t>V. Các CCTC phái sinh và TSTC khác</t>
  </si>
  <si>
    <t>VI. Cho vay khách hàng ròng</t>
  </si>
  <si>
    <t>VII. Chứng khoán đầu tư</t>
  </si>
  <si>
    <t>VIII. Góp vốn, đầu tư dài hạn</t>
  </si>
  <si>
    <t>IX. Tài sản cố định</t>
  </si>
  <si>
    <t>XI. Tài sản Có khác</t>
  </si>
  <si>
    <t>Các khoản nợ chính phủ và NHNN</t>
  </si>
  <si>
    <t>Tiền gửi &amp; cho vay các TCTD khác</t>
  </si>
  <si>
    <t>Tiền gửi khách hàng</t>
  </si>
  <si>
    <t>Vốn và các quỹ</t>
  </si>
  <si>
    <t>TỶ TRỌNG TÀI SẢN</t>
  </si>
  <si>
    <t>TỶ TRỌNG NGUỒN VỐN</t>
  </si>
  <si>
    <t xml:space="preserve">Vốn tài trợ, uỷ thác đầu tư </t>
  </si>
  <si>
    <t>Vốn và các quỹ, chênh lệch đánh giá lại tài sản</t>
  </si>
  <si>
    <t>LNST chưa phân phối lũy kế &amp; Lợi ích của cổ đông thiểu số</t>
  </si>
  <si>
    <t>PHÂN TÍCH TĂNG TRƯỞNG DMTD</t>
  </si>
  <si>
    <t>TD ngắn hạn</t>
  </si>
  <si>
    <t>TD trung hạn</t>
  </si>
  <si>
    <t>TD dài hạn</t>
  </si>
  <si>
    <t>CƠ CẤU DMTD</t>
  </si>
  <si>
    <t>PHÂN TÍCH TĂNG TRƯỞNG TIỀN GỬI</t>
  </si>
  <si>
    <t>TG không KH</t>
  </si>
  <si>
    <t>TG có KH</t>
  </si>
  <si>
    <t>TG vốn chuyên dùng</t>
  </si>
  <si>
    <t>TG ký quỹ</t>
  </si>
  <si>
    <t>CƠ CẤU TIỀN GỬI</t>
  </si>
  <si>
    <t>QUẢN LÝ RỦI RO</t>
  </si>
  <si>
    <t>PHÂN TÍCH KẾT QUẢ KINH DOANH</t>
  </si>
  <si>
    <t>TĂNG TRƯỞNG THU NHẬP</t>
  </si>
  <si>
    <t>-CP hoạt động dịch vụ</t>
  </si>
  <si>
    <t>Lãi/Lỗ thuần từ HĐKD ngoại hối</t>
  </si>
  <si>
    <t>CƠ CẤU THU NHẬP</t>
  </si>
  <si>
    <t>-CP lãi và các CP tương tự (biên lợi nhuận gộp)</t>
  </si>
  <si>
    <t>-CP hoạt động dịch vụ (biên lợi nhuận gộp)</t>
  </si>
  <si>
    <t>Chi phí hoạt động khác (biên lợi nhuận gộp)</t>
  </si>
  <si>
    <t>Chi phí hoạt động (biên lợi nhuận gộp)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</si>
</sst>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58">
    <font>
      <sz val="11"/>
      <color theme="1"/>
      <name val="Calibri"/>
      <family val="2"/>
      <scheme val="minor"/>
    </font>
    <font>
      <sz val="12"/>
      <color rgb="FF333333"/>
      <name val="Times New Roman"/>
      <family val="1"/>
    </font>
    <font>
      <sz val="12"/>
      <color theme="1"/>
      <name val="Times New Roman"/>
      <family val="1"/>
    </font>
    <font>
      <b/>
      <sz val="12"/>
      <color rgb="FF333333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333333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Helvetica"/>
    </font>
    <font>
      <sz val="11"/>
      <name val="Calibri"/>
      <family val="2"/>
      <scheme val="minor"/>
    </font>
    <font>
      <sz val="11"/>
      <color theme="0"/>
      <name val="Helvetica"/>
    </font>
    <font>
      <b/>
      <sz val="12"/>
      <color theme="0"/>
      <name val="Helvetica"/>
    </font>
    <font>
      <b/>
      <sz val="14"/>
      <color theme="0"/>
      <name val="Helvetica"/>
    </font>
    <font>
      <sz val="11"/>
      <color theme="1"/>
      <name val="Helvetica"/>
    </font>
    <font>
      <b/>
      <sz val="11"/>
      <color theme="1"/>
      <name val="Helvetica"/>
    </font>
    <font>
      <sz val="11"/>
      <color rgb="FFFF0000"/>
      <name val="Helvetica"/>
    </font>
    <font>
      <sz val="12"/>
      <color theme="0"/>
      <name val="Helvetica"/>
    </font>
    <font>
      <b/>
      <sz val="11"/>
      <color rgb="FF00B050"/>
      <name val="Helvetica"/>
    </font>
    <font>
      <sz val="11"/>
      <color rgb="FF00B050"/>
      <name val="Helvetica"/>
    </font>
    <font>
      <b/>
      <sz val="12"/>
      <color rgb="FF00B05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6" tint="-0.499984740745262"/>
      <name val="Times New Roman"/>
      <family val="1"/>
    </font>
    <font>
      <sz val="12"/>
      <color rgb="FF00B050"/>
      <name val="Times New Roman"/>
      <family val="1"/>
    </font>
    <font>
      <b/>
      <sz val="9"/>
      <color rgb="FF00B050"/>
      <name val="Helvetica"/>
    </font>
    <font>
      <sz val="9"/>
      <color theme="1"/>
      <name val="Helvetica"/>
    </font>
    <font>
      <sz val="9"/>
      <color theme="6" tint="-0.499984740745262"/>
      <name val="Helvetica"/>
    </font>
    <font>
      <sz val="12"/>
      <color theme="0"/>
      <name val="Times New Roman"/>
      <family val="1"/>
    </font>
    <font>
      <b/>
      <sz val="24"/>
      <color theme="1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18"/>
      <color theme="0"/>
      <name val="Helvetica"/>
    </font>
    <font>
      <u/>
      <sz val="11"/>
      <color theme="10"/>
      <name val="Calibri"/>
      <family val="2"/>
      <scheme val="minor"/>
    </font>
    <font>
      <sz val="12"/>
      <color theme="1"/>
      <name val="Helvetica"/>
    </font>
    <font>
      <b/>
      <sz val="12"/>
      <color theme="1"/>
      <name val="Helvetica"/>
    </font>
    <font>
      <sz val="8"/>
      <name val="Calibri"/>
      <family val="2"/>
      <scheme val="minor"/>
    </font>
    <font>
      <b/>
      <sz val="24"/>
      <color theme="0"/>
      <name val="Helvetica"/>
    </font>
    <font>
      <sz val="10"/>
      <color theme="1"/>
      <name val="HELVETICA"/>
    </font>
    <font>
      <b/>
      <sz val="9"/>
      <color theme="1"/>
      <name val="Helvetica"/>
    </font>
    <font>
      <b/>
      <sz val="9"/>
      <color theme="0"/>
      <name val="Helvetica"/>
    </font>
    <font>
      <b/>
      <sz val="9"/>
      <color rgb="FFFF0000"/>
      <name val="Helvetica"/>
    </font>
    <font>
      <b/>
      <sz val="9"/>
      <color theme="1"/>
      <name val="Helcetica"/>
    </font>
    <font>
      <i/>
      <sz val="9"/>
      <color theme="1"/>
      <name val="Helcetica"/>
    </font>
    <font>
      <sz val="9"/>
      <color theme="1"/>
      <name val="Helcetica"/>
    </font>
    <font>
      <i/>
      <sz val="9"/>
      <name val="Helcetica"/>
    </font>
    <font>
      <b/>
      <sz val="9"/>
      <color theme="6" tint="-0.499984740745262"/>
      <name val="Helvetica"/>
    </font>
    <font>
      <sz val="9"/>
      <name val="Helvetica"/>
    </font>
    <font>
      <sz val="9"/>
      <color theme="0"/>
      <name val="Helvetica"/>
    </font>
    <font>
      <b/>
      <sz val="10"/>
      <color theme="0"/>
      <name val="Helvetica"/>
    </font>
    <font>
      <b/>
      <sz val="9"/>
      <color theme="8" tint="-0.249977111117893"/>
      <name val="Helvetica"/>
    </font>
    <font>
      <b/>
      <i/>
      <sz val="9"/>
      <color theme="4"/>
      <name val="HELVETICA"/>
    </font>
    <font>
      <b/>
      <sz val="14"/>
      <color rgb="FF002060"/>
      <name val="Helvetica"/>
    </font>
    <font>
      <b/>
      <sz val="12"/>
      <color rgb="FF00B050"/>
      <name val="Calibri"/>
      <family val="2"/>
      <scheme val="minor"/>
    </font>
    <font>
      <i/>
      <sz val="9"/>
      <color theme="1"/>
      <name val="Helvetica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rgb="FF92D0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/>
      <top style="hair">
        <color indexed="64"/>
      </top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rgb="FF999999"/>
      </bottom>
      <diagonal/>
    </border>
    <border>
      <left/>
      <right style="thin">
        <color indexed="64"/>
      </right>
      <top style="thin">
        <color indexed="64"/>
      </top>
      <bottom style="medium">
        <color rgb="FF999999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/>
      <bottom style="hair">
        <color auto="1"/>
      </bottom>
      <diagonal/>
    </border>
    <border>
      <left style="medium">
        <color rgb="FF00B050"/>
      </left>
      <right/>
      <top style="hair">
        <color auto="1"/>
      </top>
      <bottom style="hair">
        <color auto="1"/>
      </bottom>
      <diagonal/>
    </border>
    <border>
      <left style="medium">
        <color rgb="FF00B050"/>
      </left>
      <right/>
      <top style="hair">
        <color auto="1"/>
      </top>
      <bottom/>
      <diagonal/>
    </border>
    <border>
      <left style="medium">
        <color rgb="FF00B050"/>
      </left>
      <right/>
      <top style="hair">
        <color auto="1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/>
      <top style="thin">
        <color rgb="FF00B050"/>
      </top>
      <bottom style="hair">
        <color theme="1"/>
      </bottom>
      <diagonal/>
    </border>
    <border>
      <left style="medium">
        <color rgb="FF00B050"/>
      </left>
      <right/>
      <top style="hair">
        <color theme="1"/>
      </top>
      <bottom style="hair">
        <color theme="1"/>
      </bottom>
      <diagonal/>
    </border>
    <border>
      <left style="medium">
        <color rgb="FF00B050"/>
      </left>
      <right/>
      <top style="hair">
        <color theme="1"/>
      </top>
      <bottom style="thin">
        <color rgb="FF00B050"/>
      </bottom>
      <diagonal/>
    </border>
    <border>
      <left style="medium">
        <color rgb="FF00B050"/>
      </left>
      <right/>
      <top style="hair">
        <color theme="1"/>
      </top>
      <bottom style="medium">
        <color rgb="FF00B050"/>
      </bottom>
      <diagonal/>
    </border>
    <border>
      <left style="medium">
        <color rgb="FF00B050"/>
      </left>
      <right/>
      <top/>
      <bottom style="hair">
        <color theme="1"/>
      </bottom>
      <diagonal/>
    </border>
    <border>
      <left style="medium">
        <color rgb="FF00B050"/>
      </left>
      <right/>
      <top/>
      <bottom style="thin">
        <color rgb="FF00B050"/>
      </bottom>
      <diagonal/>
    </border>
    <border>
      <left/>
      <right style="medium">
        <color rgb="FF00B050"/>
      </right>
      <top/>
      <bottom style="thin">
        <color rgb="FF00B050"/>
      </bottom>
      <diagonal/>
    </border>
    <border>
      <left style="medium">
        <color rgb="FF00B050"/>
      </left>
      <right/>
      <top style="hair">
        <color theme="1"/>
      </top>
      <bottom/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hair">
        <color auto="1"/>
      </top>
      <bottom style="thin">
        <color indexed="64"/>
      </bottom>
      <diagonal/>
    </border>
    <border>
      <left style="medium">
        <color rgb="FF00B050"/>
      </left>
      <right/>
      <top style="hair">
        <color auto="1"/>
      </top>
      <bottom style="hair">
        <color theme="1"/>
      </bottom>
      <diagonal/>
    </border>
    <border>
      <left/>
      <right style="hair">
        <color theme="1"/>
      </right>
      <top/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indexed="64"/>
      </bottom>
      <diagonal/>
    </border>
    <border>
      <left style="hair">
        <color theme="1"/>
      </left>
      <right style="medium">
        <color rgb="FF00B050"/>
      </right>
      <top/>
      <bottom style="hair">
        <color auto="1"/>
      </bottom>
      <diagonal/>
    </border>
    <border>
      <left/>
      <right style="hair">
        <color theme="1"/>
      </right>
      <top style="medium">
        <color rgb="FF00B050"/>
      </top>
      <bottom style="medium">
        <color rgb="FF00B050"/>
      </bottom>
      <diagonal/>
    </border>
    <border>
      <left style="hair">
        <color theme="1"/>
      </left>
      <right style="hair">
        <color theme="1"/>
      </right>
      <top style="medium">
        <color rgb="FF00B050"/>
      </top>
      <bottom style="medium">
        <color rgb="FF00B050"/>
      </bottom>
      <diagonal/>
    </border>
    <border>
      <left style="hair">
        <color theme="1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hair">
        <color theme="1"/>
      </right>
      <top/>
      <bottom style="medium">
        <color rgb="FF00B050"/>
      </bottom>
      <diagonal/>
    </border>
    <border>
      <left style="hair">
        <color theme="1"/>
      </left>
      <right style="hair">
        <color theme="1"/>
      </right>
      <top/>
      <bottom style="medium">
        <color rgb="FF00B050"/>
      </bottom>
      <diagonal/>
    </border>
    <border>
      <left style="hair">
        <color theme="1"/>
      </left>
      <right style="medium">
        <color rgb="FF00B050"/>
      </right>
      <top/>
      <bottom style="medium">
        <color rgb="FF00B050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medium">
        <color rgb="FF00B050"/>
      </right>
      <top/>
      <bottom/>
      <diagonal/>
    </border>
    <border>
      <left/>
      <right style="hair">
        <color theme="1"/>
      </right>
      <top style="hair">
        <color indexed="64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auto="1"/>
      </bottom>
      <diagonal/>
    </border>
    <border>
      <left style="hair">
        <color theme="1"/>
      </left>
      <right style="medium">
        <color rgb="FF00B050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rgb="FF00B050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rgb="FF00B050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 style="hair">
        <color auto="1"/>
      </top>
      <bottom style="medium">
        <color rgb="FF00B050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medium">
        <color rgb="FF00B050"/>
      </bottom>
      <diagonal/>
    </border>
    <border>
      <left style="hair">
        <color theme="1"/>
      </left>
      <right style="medium">
        <color rgb="FF00B050"/>
      </right>
      <top style="hair">
        <color auto="1"/>
      </top>
      <bottom style="medium">
        <color rgb="FF00B050"/>
      </bottom>
      <diagonal/>
    </border>
    <border>
      <left/>
      <right style="hair">
        <color theme="1"/>
      </right>
      <top style="hair">
        <color indexed="64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/>
      <diagonal/>
    </border>
    <border>
      <left style="hair">
        <color theme="1"/>
      </left>
      <right style="medium">
        <color rgb="FF00B050"/>
      </right>
      <top style="hair">
        <color auto="1"/>
      </top>
      <bottom/>
      <diagonal/>
    </border>
    <border>
      <left/>
      <right style="hair">
        <color theme="1"/>
      </right>
      <top style="thin">
        <color rgb="FF00B050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thin">
        <color rgb="FF00B050"/>
      </top>
      <bottom style="hair">
        <color indexed="64"/>
      </bottom>
      <diagonal/>
    </border>
    <border>
      <left style="hair">
        <color theme="1"/>
      </left>
      <right style="medium">
        <color rgb="FF00B050"/>
      </right>
      <top style="thin">
        <color rgb="FF00B050"/>
      </top>
      <bottom style="hair">
        <color auto="1"/>
      </bottom>
      <diagonal/>
    </border>
    <border>
      <left/>
      <right style="hair">
        <color theme="1"/>
      </right>
      <top style="thin">
        <color rgb="FF00B050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rgb="FF00B050"/>
      </top>
      <bottom style="hair">
        <color theme="1"/>
      </bottom>
      <diagonal/>
    </border>
    <border>
      <left style="hair">
        <color theme="1"/>
      </left>
      <right style="medium">
        <color rgb="FF00B050"/>
      </right>
      <top style="thin">
        <color rgb="FF00B050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medium">
        <color rgb="FF00B05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00B050"/>
      </bottom>
      <diagonal/>
    </border>
    <border>
      <left style="hair">
        <color theme="1"/>
      </left>
      <right style="medium">
        <color rgb="FF00B050"/>
      </right>
      <top style="hair">
        <color theme="1"/>
      </top>
      <bottom style="medium">
        <color rgb="FF00B050"/>
      </bottom>
      <diagonal/>
    </border>
    <border>
      <left/>
      <right style="hair">
        <color theme="1"/>
      </right>
      <top style="hair">
        <color theme="1"/>
      </top>
      <bottom style="thin">
        <color rgb="FF00B05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rgb="FF00B050"/>
      </bottom>
      <diagonal/>
    </border>
    <border>
      <left style="hair">
        <color theme="1"/>
      </left>
      <right style="medium">
        <color rgb="FF00B050"/>
      </right>
      <top style="hair">
        <color theme="1"/>
      </top>
      <bottom style="thin">
        <color rgb="FF00B050"/>
      </bottom>
      <diagonal/>
    </border>
    <border>
      <left style="medium">
        <color rgb="FF00B05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00B050"/>
      </right>
      <top style="thin">
        <color indexed="64"/>
      </top>
      <bottom style="hair">
        <color indexed="64"/>
      </bottom>
      <diagonal/>
    </border>
    <border>
      <left style="medium">
        <color rgb="FF00B050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medium">
        <color rgb="FF00B050"/>
      </right>
      <top style="hair">
        <color indexed="64"/>
      </top>
      <bottom style="hair">
        <color auto="1"/>
      </bottom>
      <diagonal/>
    </border>
    <border>
      <left style="medium">
        <color rgb="FF00B050"/>
      </left>
      <right style="hair">
        <color indexed="64"/>
      </right>
      <top style="hair">
        <color auto="1"/>
      </top>
      <bottom style="medium">
        <color rgb="FF00B05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00B050"/>
      </bottom>
      <diagonal/>
    </border>
    <border>
      <left style="hair">
        <color indexed="64"/>
      </left>
      <right style="medium">
        <color rgb="FF00B050"/>
      </right>
      <top style="hair">
        <color indexed="64"/>
      </top>
      <bottom style="medium">
        <color rgb="FF00B050"/>
      </bottom>
      <diagonal/>
    </border>
    <border>
      <left style="medium">
        <color rgb="FF00B050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rgb="FF00B050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rgb="FF00B050"/>
      </bottom>
      <diagonal/>
    </border>
    <border>
      <left style="hair">
        <color auto="1"/>
      </left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/>
      <top/>
      <bottom/>
      <diagonal/>
    </border>
  </borders>
  <cellStyleXfs count="4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517">
    <xf numFmtId="0" fontId="0" fillId="0" borderId="0" xfId="0"/>
    <xf numFmtId="164" fontId="1" fillId="0" borderId="0" xfId="1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6" fillId="0" borderId="0" xfId="0" applyFont="1"/>
    <xf numFmtId="0" fontId="2" fillId="0" borderId="0" xfId="0" applyFont="1"/>
    <xf numFmtId="0" fontId="5" fillId="0" borderId="0" xfId="0" applyFont="1"/>
    <xf numFmtId="0" fontId="11" fillId="0" borderId="0" xfId="0" applyFont="1"/>
    <xf numFmtId="0" fontId="4" fillId="0" borderId="0" xfId="0" applyFont="1"/>
    <xf numFmtId="9" fontId="2" fillId="0" borderId="0" xfId="2" applyFont="1" applyFill="1" applyBorder="1"/>
    <xf numFmtId="0" fontId="10" fillId="0" borderId="0" xfId="0" applyFont="1"/>
    <xf numFmtId="164" fontId="2" fillId="0" borderId="0" xfId="1" applyNumberFormat="1" applyFont="1" applyFill="1" applyBorder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 vertical="center" wrapText="1"/>
    </xf>
    <xf numFmtId="0" fontId="7" fillId="0" borderId="0" xfId="0" applyFont="1"/>
    <xf numFmtId="0" fontId="12" fillId="0" borderId="0" xfId="0" applyFont="1"/>
    <xf numFmtId="0" fontId="0" fillId="2" borderId="0" xfId="0" applyFill="1"/>
    <xf numFmtId="0" fontId="0" fillId="0" borderId="3" xfId="0" applyBorder="1"/>
    <xf numFmtId="0" fontId="0" fillId="2" borderId="0" xfId="0" applyFill="1" applyAlignment="1">
      <alignment horizontal="left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18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5" fillId="0" borderId="0" xfId="0" applyFont="1"/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3" xfId="0" applyFont="1" applyBorder="1"/>
    <xf numFmtId="0" fontId="19" fillId="0" borderId="0" xfId="0" applyFont="1"/>
    <xf numFmtId="0" fontId="19" fillId="0" borderId="8" xfId="0" applyFont="1" applyBorder="1"/>
    <xf numFmtId="0" fontId="19" fillId="0" borderId="9" xfId="0" applyFont="1" applyBorder="1"/>
    <xf numFmtId="0" fontId="20" fillId="0" borderId="0" xfId="0" applyFont="1"/>
    <xf numFmtId="0" fontId="20" fillId="0" borderId="3" xfId="0" applyFont="1" applyBorder="1"/>
    <xf numFmtId="3" fontId="19" fillId="0" borderId="0" xfId="0" applyNumberFormat="1" applyFont="1"/>
    <xf numFmtId="3" fontId="19" fillId="0" borderId="3" xfId="0" applyNumberFormat="1" applyFont="1" applyBorder="1"/>
    <xf numFmtId="2" fontId="19" fillId="0" borderId="0" xfId="0" applyNumberFormat="1" applyFont="1"/>
    <xf numFmtId="2" fontId="19" fillId="0" borderId="3" xfId="0" applyNumberFormat="1" applyFont="1" applyBorder="1"/>
    <xf numFmtId="0" fontId="19" fillId="0" borderId="3" xfId="0" applyFont="1" applyBorder="1"/>
    <xf numFmtId="164" fontId="19" fillId="0" borderId="0" xfId="1" applyNumberFormat="1" applyFont="1" applyBorder="1"/>
    <xf numFmtId="164" fontId="19" fillId="0" borderId="3" xfId="1" applyNumberFormat="1" applyFont="1" applyBorder="1"/>
    <xf numFmtId="0" fontId="19" fillId="0" borderId="5" xfId="0" applyFont="1" applyBorder="1"/>
    <xf numFmtId="2" fontId="19" fillId="0" borderId="12" xfId="0" applyNumberFormat="1" applyFont="1" applyBorder="1"/>
    <xf numFmtId="2" fontId="19" fillId="0" borderId="13" xfId="0" applyNumberFormat="1" applyFont="1" applyBorder="1"/>
    <xf numFmtId="10" fontId="19" fillId="0" borderId="12" xfId="0" applyNumberFormat="1" applyFont="1" applyBorder="1"/>
    <xf numFmtId="10" fontId="19" fillId="0" borderId="13" xfId="0" applyNumberFormat="1" applyFont="1" applyBorder="1"/>
    <xf numFmtId="164" fontId="19" fillId="0" borderId="12" xfId="1" applyNumberFormat="1" applyFont="1" applyBorder="1"/>
    <xf numFmtId="164" fontId="19" fillId="0" borderId="13" xfId="1" applyNumberFormat="1" applyFont="1" applyBorder="1"/>
    <xf numFmtId="0" fontId="21" fillId="0" borderId="0" xfId="0" applyFont="1"/>
    <xf numFmtId="0" fontId="19" fillId="0" borderId="12" xfId="0" applyFont="1" applyBorder="1"/>
    <xf numFmtId="0" fontId="19" fillId="0" borderId="15" xfId="0" applyFont="1" applyBorder="1"/>
    <xf numFmtId="9" fontId="19" fillId="0" borderId="0" xfId="2" applyFont="1" applyBorder="1"/>
    <xf numFmtId="9" fontId="19" fillId="0" borderId="3" xfId="2" applyFont="1" applyBorder="1"/>
    <xf numFmtId="10" fontId="19" fillId="0" borderId="0" xfId="2" applyNumberFormat="1" applyFont="1" applyBorder="1"/>
    <xf numFmtId="10" fontId="19" fillId="0" borderId="3" xfId="2" applyNumberFormat="1" applyFont="1" applyBorder="1"/>
    <xf numFmtId="3" fontId="19" fillId="0" borderId="12" xfId="0" applyNumberFormat="1" applyFont="1" applyBorder="1"/>
    <xf numFmtId="3" fontId="19" fillId="0" borderId="13" xfId="0" applyNumberFormat="1" applyFont="1" applyBorder="1"/>
    <xf numFmtId="0" fontId="19" fillId="0" borderId="16" xfId="0" applyFont="1" applyBorder="1"/>
    <xf numFmtId="9" fontId="19" fillId="0" borderId="12" xfId="2" applyFont="1" applyBorder="1"/>
    <xf numFmtId="9" fontId="19" fillId="0" borderId="13" xfId="2" applyFont="1" applyBorder="1"/>
    <xf numFmtId="10" fontId="19" fillId="0" borderId="12" xfId="2" applyNumberFormat="1" applyFont="1" applyBorder="1"/>
    <xf numFmtId="10" fontId="19" fillId="0" borderId="13" xfId="2" applyNumberFormat="1" applyFont="1" applyBorder="1"/>
    <xf numFmtId="9" fontId="19" fillId="0" borderId="5" xfId="2" applyFont="1" applyBorder="1"/>
    <xf numFmtId="9" fontId="19" fillId="0" borderId="4" xfId="2" applyFont="1" applyBorder="1"/>
    <xf numFmtId="0" fontId="22" fillId="2" borderId="0" xfId="0" applyFont="1" applyFill="1"/>
    <xf numFmtId="10" fontId="19" fillId="0" borderId="5" xfId="2" applyNumberFormat="1" applyFont="1" applyBorder="1"/>
    <xf numFmtId="10" fontId="19" fillId="0" borderId="4" xfId="2" applyNumberFormat="1" applyFont="1" applyBorder="1"/>
    <xf numFmtId="10" fontId="19" fillId="0" borderId="5" xfId="0" applyNumberFormat="1" applyFont="1" applyBorder="1"/>
    <xf numFmtId="10" fontId="19" fillId="0" borderId="4" xfId="0" applyNumberFormat="1" applyFont="1" applyBorder="1"/>
    <xf numFmtId="0" fontId="24" fillId="0" borderId="0" xfId="0" applyFont="1"/>
    <xf numFmtId="0" fontId="24" fillId="0" borderId="3" xfId="0" applyFont="1" applyBorder="1"/>
    <xf numFmtId="0" fontId="23" fillId="3" borderId="6" xfId="0" applyFont="1" applyFill="1" applyBorder="1"/>
    <xf numFmtId="0" fontId="20" fillId="3" borderId="0" xfId="0" applyFont="1" applyFill="1"/>
    <xf numFmtId="0" fontId="19" fillId="3" borderId="0" xfId="0" applyFont="1" applyFill="1"/>
    <xf numFmtId="0" fontId="19" fillId="3" borderId="6" xfId="0" applyFont="1" applyFill="1" applyBorder="1"/>
    <xf numFmtId="0" fontId="19" fillId="3" borderId="11" xfId="0" applyFont="1" applyFill="1" applyBorder="1"/>
    <xf numFmtId="0" fontId="19" fillId="3" borderId="12" xfId="0" applyFont="1" applyFill="1" applyBorder="1"/>
    <xf numFmtId="0" fontId="23" fillId="3" borderId="14" xfId="0" applyFont="1" applyFill="1" applyBorder="1"/>
    <xf numFmtId="0" fontId="20" fillId="3" borderId="15" xfId="0" applyFont="1" applyFill="1" applyBorder="1"/>
    <xf numFmtId="0" fontId="19" fillId="3" borderId="15" xfId="0" applyFont="1" applyFill="1" applyBorder="1"/>
    <xf numFmtId="0" fontId="23" fillId="3" borderId="0" xfId="0" applyFont="1" applyFill="1"/>
    <xf numFmtId="0" fontId="24" fillId="3" borderId="0" xfId="0" applyFont="1" applyFill="1"/>
    <xf numFmtId="0" fontId="20" fillId="3" borderId="6" xfId="0" applyFont="1" applyFill="1" applyBorder="1"/>
    <xf numFmtId="0" fontId="19" fillId="3" borderId="10" xfId="0" applyFont="1" applyFill="1" applyBorder="1"/>
    <xf numFmtId="0" fontId="19" fillId="3" borderId="5" xfId="0" applyFont="1" applyFill="1" applyBorder="1"/>
    <xf numFmtId="0" fontId="19" fillId="3" borderId="6" xfId="0" applyFont="1" applyFill="1" applyBorder="1" applyAlignment="1">
      <alignment horizontal="left"/>
    </xf>
    <xf numFmtId="0" fontId="19" fillId="3" borderId="0" xfId="0" applyFont="1" applyFill="1" applyAlignment="1">
      <alignment horizontal="left"/>
    </xf>
    <xf numFmtId="0" fontId="21" fillId="3" borderId="5" xfId="0" applyFont="1" applyFill="1" applyBorder="1"/>
    <xf numFmtId="0" fontId="16" fillId="2" borderId="17" xfId="0" applyFont="1" applyFill="1" applyBorder="1"/>
    <xf numFmtId="0" fontId="0" fillId="0" borderId="17" xfId="0" applyBorder="1"/>
    <xf numFmtId="0" fontId="0" fillId="2" borderId="17" xfId="0" applyFill="1" applyBorder="1"/>
    <xf numFmtId="0" fontId="13" fillId="2" borderId="17" xfId="0" applyFont="1" applyFill="1" applyBorder="1"/>
    <xf numFmtId="0" fontId="0" fillId="2" borderId="17" xfId="0" applyFill="1" applyBorder="1" applyAlignment="1">
      <alignment horizontal="left" vertical="center"/>
    </xf>
    <xf numFmtId="0" fontId="23" fillId="3" borderId="7" xfId="0" applyFont="1" applyFill="1" applyBorder="1"/>
    <xf numFmtId="0" fontId="20" fillId="3" borderId="8" xfId="0" applyFont="1" applyFill="1" applyBorder="1"/>
    <xf numFmtId="0" fontId="2" fillId="0" borderId="6" xfId="0" applyFont="1" applyBorder="1" applyAlignment="1">
      <alignment vertical="center" wrapText="1"/>
    </xf>
    <xf numFmtId="0" fontId="26" fillId="6" borderId="25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vertical="center" wrapText="1"/>
    </xf>
    <xf numFmtId="0" fontId="26" fillId="6" borderId="26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vertical="center" wrapText="1"/>
    </xf>
    <xf numFmtId="0" fontId="25" fillId="0" borderId="29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25" fillId="3" borderId="0" xfId="0" applyFont="1" applyFill="1" applyAlignment="1">
      <alignment horizontal="right" vertical="center" wrapText="1"/>
    </xf>
    <xf numFmtId="0" fontId="25" fillId="3" borderId="0" xfId="0" applyFont="1" applyFill="1"/>
    <xf numFmtId="0" fontId="3" fillId="0" borderId="30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/>
    <xf numFmtId="0" fontId="2" fillId="3" borderId="28" xfId="0" applyFont="1" applyFill="1" applyBorder="1" applyAlignment="1">
      <alignment vertical="center" wrapText="1"/>
    </xf>
    <xf numFmtId="0" fontId="2" fillId="0" borderId="37" xfId="0" applyFont="1" applyBorder="1"/>
    <xf numFmtId="0" fontId="2" fillId="0" borderId="38" xfId="0" applyFont="1" applyBorder="1"/>
    <xf numFmtId="164" fontId="1" fillId="0" borderId="39" xfId="1" applyNumberFormat="1" applyFont="1" applyFill="1" applyBorder="1" applyAlignment="1">
      <alignment horizontal="right" wrapText="1"/>
    </xf>
    <xf numFmtId="3" fontId="1" fillId="0" borderId="20" xfId="0" applyNumberFormat="1" applyFont="1" applyBorder="1" applyAlignment="1">
      <alignment horizontal="right" wrapText="1"/>
    </xf>
    <xf numFmtId="3" fontId="1" fillId="0" borderId="40" xfId="0" applyNumberFormat="1" applyFont="1" applyBorder="1" applyAlignment="1">
      <alignment horizontal="right" wrapText="1"/>
    </xf>
    <xf numFmtId="3" fontId="1" fillId="0" borderId="19" xfId="0" applyNumberFormat="1" applyFont="1" applyBorder="1" applyAlignment="1">
      <alignment horizontal="right" wrapText="1"/>
    </xf>
    <xf numFmtId="3" fontId="1" fillId="0" borderId="40" xfId="0" applyNumberFormat="1" applyFont="1" applyBorder="1" applyAlignment="1">
      <alignment horizontal="right" vertical="center" wrapText="1"/>
    </xf>
    <xf numFmtId="3" fontId="1" fillId="0" borderId="19" xfId="0" applyNumberFormat="1" applyFont="1" applyBorder="1" applyAlignment="1">
      <alignment horizontal="right" vertical="center" wrapText="1"/>
    </xf>
    <xf numFmtId="3" fontId="27" fillId="5" borderId="40" xfId="0" applyNumberFormat="1" applyFont="1" applyFill="1" applyBorder="1"/>
    <xf numFmtId="3" fontId="27" fillId="5" borderId="19" xfId="0" applyNumberFormat="1" applyFont="1" applyFill="1" applyBorder="1"/>
    <xf numFmtId="4" fontId="3" fillId="0" borderId="41" xfId="0" applyNumberFormat="1" applyFont="1" applyBorder="1" applyAlignment="1">
      <alignment horizontal="right" vertical="center" wrapText="1"/>
    </xf>
    <xf numFmtId="4" fontId="3" fillId="0" borderId="42" xfId="0" applyNumberFormat="1" applyFont="1" applyBorder="1" applyAlignment="1">
      <alignment horizontal="right" vertical="center" wrapText="1"/>
    </xf>
    <xf numFmtId="3" fontId="1" fillId="0" borderId="39" xfId="0" applyNumberFormat="1" applyFont="1" applyBorder="1" applyAlignment="1">
      <alignment horizontal="right" vertical="center" wrapText="1"/>
    </xf>
    <xf numFmtId="3" fontId="1" fillId="0" borderId="20" xfId="0" applyNumberFormat="1" applyFont="1" applyBorder="1" applyAlignment="1">
      <alignment horizontal="right" vertical="center" wrapText="1"/>
    </xf>
    <xf numFmtId="0" fontId="2" fillId="0" borderId="7" xfId="0" applyFont="1" applyBorder="1"/>
    <xf numFmtId="0" fontId="2" fillId="0" borderId="6" xfId="0" applyFont="1" applyBorder="1"/>
    <xf numFmtId="164" fontId="6" fillId="0" borderId="5" xfId="1" applyNumberFormat="1" applyFont="1" applyFill="1" applyBorder="1" applyAlignment="1">
      <alignment vertical="center"/>
    </xf>
    <xf numFmtId="164" fontId="6" fillId="0" borderId="4" xfId="1" applyNumberFormat="1" applyFont="1" applyFill="1" applyBorder="1" applyAlignment="1">
      <alignment vertical="center"/>
    </xf>
    <xf numFmtId="0" fontId="2" fillId="0" borderId="10" xfId="0" applyFont="1" applyBorder="1"/>
    <xf numFmtId="164" fontId="2" fillId="0" borderId="3" xfId="1" applyNumberFormat="1" applyFont="1" applyFill="1" applyBorder="1"/>
    <xf numFmtId="164" fontId="6" fillId="0" borderId="5" xfId="1" applyNumberFormat="1" applyFont="1" applyFill="1" applyBorder="1"/>
    <xf numFmtId="164" fontId="6" fillId="0" borderId="4" xfId="1" applyNumberFormat="1" applyFont="1" applyFill="1" applyBorder="1"/>
    <xf numFmtId="164" fontId="2" fillId="0" borderId="45" xfId="1" applyNumberFormat="1" applyFont="1" applyFill="1" applyBorder="1" applyAlignment="1">
      <alignment vertical="center"/>
    </xf>
    <xf numFmtId="164" fontId="2" fillId="0" borderId="46" xfId="1" applyNumberFormat="1" applyFont="1" applyFill="1" applyBorder="1" applyAlignment="1">
      <alignment vertical="center"/>
    </xf>
    <xf numFmtId="164" fontId="2" fillId="0" borderId="22" xfId="1" applyNumberFormat="1" applyFont="1" applyFill="1" applyBorder="1" applyAlignment="1">
      <alignment vertical="center"/>
    </xf>
    <xf numFmtId="164" fontId="2" fillId="0" borderId="23" xfId="1" applyNumberFormat="1" applyFont="1" applyFill="1" applyBorder="1" applyAlignment="1">
      <alignment vertical="center"/>
    </xf>
    <xf numFmtId="164" fontId="6" fillId="0" borderId="34" xfId="1" applyNumberFormat="1" applyFont="1" applyFill="1" applyBorder="1" applyAlignment="1">
      <alignment vertical="center"/>
    </xf>
    <xf numFmtId="164" fontId="6" fillId="0" borderId="35" xfId="1" applyNumberFormat="1" applyFont="1" applyFill="1" applyBorder="1" applyAlignment="1">
      <alignment vertical="center"/>
    </xf>
    <xf numFmtId="0" fontId="2" fillId="3" borderId="44" xfId="0" applyFont="1" applyFill="1" applyBorder="1"/>
    <xf numFmtId="0" fontId="2" fillId="3" borderId="21" xfId="0" applyFont="1" applyFill="1" applyBorder="1"/>
    <xf numFmtId="0" fontId="6" fillId="3" borderId="33" xfId="0" applyFont="1" applyFill="1" applyBorder="1"/>
    <xf numFmtId="0" fontId="26" fillId="7" borderId="0" xfId="0" applyFont="1" applyFill="1"/>
    <xf numFmtId="0" fontId="26" fillId="7" borderId="0" xfId="0" applyFont="1" applyFill="1" applyAlignment="1">
      <alignment horizontal="right" vertical="center" wrapText="1"/>
    </xf>
    <xf numFmtId="3" fontId="2" fillId="0" borderId="45" xfId="0" applyNumberFormat="1" applyFont="1" applyBorder="1" applyAlignment="1">
      <alignment vertical="center"/>
    </xf>
    <xf numFmtId="3" fontId="2" fillId="0" borderId="22" xfId="0" applyNumberFormat="1" applyFont="1" applyBorder="1" applyAlignment="1">
      <alignment vertical="center"/>
    </xf>
    <xf numFmtId="0" fontId="2" fillId="3" borderId="11" xfId="0" applyFont="1" applyFill="1" applyBorder="1"/>
    <xf numFmtId="164" fontId="2" fillId="0" borderId="12" xfId="1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164" fontId="2" fillId="0" borderId="13" xfId="1" applyNumberFormat="1" applyFont="1" applyFill="1" applyBorder="1" applyAlignment="1">
      <alignment vertical="center"/>
    </xf>
    <xf numFmtId="0" fontId="6" fillId="3" borderId="10" xfId="0" applyFont="1" applyFill="1" applyBorder="1"/>
    <xf numFmtId="164" fontId="2" fillId="0" borderId="45" xfId="1" applyNumberFormat="1" applyFont="1" applyFill="1" applyBorder="1"/>
    <xf numFmtId="164" fontId="2" fillId="0" borderId="46" xfId="1" applyNumberFormat="1" applyFont="1" applyFill="1" applyBorder="1"/>
    <xf numFmtId="164" fontId="2" fillId="0" borderId="22" xfId="1" applyNumberFormat="1" applyFont="1" applyFill="1" applyBorder="1"/>
    <xf numFmtId="164" fontId="2" fillId="0" borderId="23" xfId="1" applyNumberFormat="1" applyFont="1" applyFill="1" applyBorder="1"/>
    <xf numFmtId="9" fontId="2" fillId="0" borderId="3" xfId="2" applyFont="1" applyFill="1" applyBorder="1"/>
    <xf numFmtId="9" fontId="2" fillId="0" borderId="12" xfId="2" applyFont="1" applyFill="1" applyBorder="1"/>
    <xf numFmtId="9" fontId="2" fillId="0" borderId="13" xfId="2" applyFont="1" applyFill="1" applyBorder="1"/>
    <xf numFmtId="164" fontId="2" fillId="0" borderId="5" xfId="1" applyNumberFormat="1" applyFont="1" applyFill="1" applyBorder="1"/>
    <xf numFmtId="164" fontId="2" fillId="0" borderId="4" xfId="1" applyNumberFormat="1" applyFont="1" applyFill="1" applyBorder="1"/>
    <xf numFmtId="0" fontId="26" fillId="6" borderId="7" xfId="0" applyFont="1" applyFill="1" applyBorder="1"/>
    <xf numFmtId="0" fontId="27" fillId="3" borderId="48" xfId="0" applyFont="1" applyFill="1" applyBorder="1"/>
    <xf numFmtId="0" fontId="27" fillId="3" borderId="2" xfId="0" applyFont="1" applyFill="1" applyBorder="1"/>
    <xf numFmtId="0" fontId="2" fillId="0" borderId="28" xfId="0" applyFont="1" applyBorder="1"/>
    <xf numFmtId="0" fontId="4" fillId="5" borderId="28" xfId="0" applyFont="1" applyFill="1" applyBorder="1"/>
    <xf numFmtId="0" fontId="2" fillId="0" borderId="49" xfId="0" applyFont="1" applyBorder="1"/>
    <xf numFmtId="0" fontId="27" fillId="3" borderId="24" xfId="0" applyFont="1" applyFill="1" applyBorder="1"/>
    <xf numFmtId="0" fontId="2" fillId="0" borderId="50" xfId="0" applyFont="1" applyBorder="1"/>
    <xf numFmtId="164" fontId="2" fillId="0" borderId="51" xfId="1" applyNumberFormat="1" applyFont="1" applyFill="1" applyBorder="1"/>
    <xf numFmtId="164" fontId="2" fillId="0" borderId="52" xfId="1" applyNumberFormat="1" applyFont="1" applyFill="1" applyBorder="1"/>
    <xf numFmtId="164" fontId="2" fillId="0" borderId="53" xfId="1" applyNumberFormat="1" applyFont="1" applyFill="1" applyBorder="1"/>
    <xf numFmtId="164" fontId="2" fillId="0" borderId="40" xfId="1" applyNumberFormat="1" applyFont="1" applyFill="1" applyBorder="1"/>
    <xf numFmtId="164" fontId="4" fillId="5" borderId="53" xfId="1" applyNumberFormat="1" applyFont="1" applyFill="1" applyBorder="1"/>
    <xf numFmtId="164" fontId="4" fillId="5" borderId="40" xfId="1" applyNumberFormat="1" applyFont="1" applyFill="1" applyBorder="1"/>
    <xf numFmtId="10" fontId="2" fillId="0" borderId="53" xfId="2" applyNumberFormat="1" applyFont="1" applyFill="1" applyBorder="1"/>
    <xf numFmtId="10" fontId="2" fillId="0" borderId="40" xfId="2" applyNumberFormat="1" applyFont="1" applyFill="1" applyBorder="1"/>
    <xf numFmtId="10" fontId="2" fillId="0" borderId="54" xfId="2" applyNumberFormat="1" applyFont="1" applyFill="1" applyBorder="1"/>
    <xf numFmtId="10" fontId="2" fillId="0" borderId="55" xfId="2" applyNumberFormat="1" applyFont="1" applyFill="1" applyBorder="1"/>
    <xf numFmtId="0" fontId="32" fillId="7" borderId="28" xfId="0" applyFont="1" applyFill="1" applyBorder="1"/>
    <xf numFmtId="164" fontId="26" fillId="7" borderId="53" xfId="1" applyNumberFormat="1" applyFont="1" applyFill="1" applyBorder="1"/>
    <xf numFmtId="164" fontId="26" fillId="7" borderId="40" xfId="1" applyNumberFormat="1" applyFont="1" applyFill="1" applyBorder="1"/>
    <xf numFmtId="164" fontId="26" fillId="7" borderId="5" xfId="1" applyNumberFormat="1" applyFont="1" applyFill="1" applyBorder="1"/>
    <xf numFmtId="164" fontId="26" fillId="7" borderId="4" xfId="1" applyNumberFormat="1" applyFont="1" applyFill="1" applyBorder="1"/>
    <xf numFmtId="0" fontId="26" fillId="7" borderId="10" xfId="0" applyFont="1" applyFill="1" applyBorder="1"/>
    <xf numFmtId="0" fontId="32" fillId="7" borderId="49" xfId="0" applyFont="1" applyFill="1" applyBorder="1"/>
    <xf numFmtId="164" fontId="26" fillId="7" borderId="54" xfId="1" applyNumberFormat="1" applyFont="1" applyFill="1" applyBorder="1"/>
    <xf numFmtId="164" fontId="26" fillId="7" borderId="55" xfId="1" applyNumberFormat="1" applyFont="1" applyFill="1" applyBorder="1"/>
    <xf numFmtId="0" fontId="26" fillId="7" borderId="28" xfId="0" applyFont="1" applyFill="1" applyBorder="1"/>
    <xf numFmtId="164" fontId="19" fillId="0" borderId="1" xfId="1" applyNumberFormat="1" applyFont="1" applyBorder="1"/>
    <xf numFmtId="0" fontId="16" fillId="7" borderId="1" xfId="0" applyFont="1" applyFill="1" applyBorder="1"/>
    <xf numFmtId="0" fontId="14" fillId="7" borderId="1" xfId="0" applyFont="1" applyFill="1" applyBorder="1"/>
    <xf numFmtId="0" fontId="19" fillId="3" borderId="1" xfId="0" applyFont="1" applyFill="1" applyBorder="1"/>
    <xf numFmtId="0" fontId="20" fillId="4" borderId="1" xfId="0" applyFont="1" applyFill="1" applyBorder="1"/>
    <xf numFmtId="164" fontId="20" fillId="4" borderId="1" xfId="1" applyNumberFormat="1" applyFont="1" applyFill="1" applyBorder="1"/>
    <xf numFmtId="164" fontId="14" fillId="7" borderId="1" xfId="0" applyNumberFormat="1" applyFont="1" applyFill="1" applyBorder="1"/>
    <xf numFmtId="0" fontId="2" fillId="5" borderId="19" xfId="0" quotePrefix="1" applyFont="1" applyFill="1" applyBorder="1" applyAlignment="1">
      <alignment vertical="center"/>
    </xf>
    <xf numFmtId="164" fontId="1" fillId="5" borderId="19" xfId="1" applyNumberFormat="1" applyFont="1" applyFill="1" applyBorder="1" applyAlignment="1">
      <alignment horizontal="right"/>
    </xf>
    <xf numFmtId="0" fontId="7" fillId="5" borderId="19" xfId="0" applyFont="1" applyFill="1" applyBorder="1" applyAlignment="1">
      <alignment vertical="center"/>
    </xf>
    <xf numFmtId="164" fontId="8" fillId="5" borderId="19" xfId="1" applyNumberFormat="1" applyFont="1" applyFill="1" applyBorder="1" applyAlignment="1">
      <alignment horizontal="right"/>
    </xf>
    <xf numFmtId="0" fontId="2" fillId="5" borderId="36" xfId="0" applyFont="1" applyFill="1" applyBorder="1" applyAlignment="1">
      <alignment vertical="center"/>
    </xf>
    <xf numFmtId="164" fontId="1" fillId="5" borderId="36" xfId="1" applyNumberFormat="1" applyFont="1" applyFill="1" applyBorder="1" applyAlignment="1">
      <alignment horizontal="right"/>
    </xf>
    <xf numFmtId="0" fontId="28" fillId="0" borderId="0" xfId="0" applyFont="1"/>
    <xf numFmtId="0" fontId="2" fillId="0" borderId="19" xfId="0" applyFont="1" applyBorder="1"/>
    <xf numFmtId="0" fontId="2" fillId="0" borderId="18" xfId="0" applyFont="1" applyBorder="1"/>
    <xf numFmtId="164" fontId="2" fillId="0" borderId="18" xfId="1" applyNumberFormat="1" applyFont="1" applyFill="1" applyBorder="1" applyAlignment="1"/>
    <xf numFmtId="164" fontId="2" fillId="0" borderId="19" xfId="1" applyNumberFormat="1" applyFont="1" applyFill="1" applyBorder="1" applyAlignment="1"/>
    <xf numFmtId="0" fontId="2" fillId="0" borderId="1" xfId="0" applyFont="1" applyBorder="1"/>
    <xf numFmtId="164" fontId="1" fillId="0" borderId="3" xfId="1" applyNumberFormat="1" applyFont="1" applyFill="1" applyBorder="1" applyAlignment="1">
      <alignment horizontal="right" vertical="center" wrapText="1"/>
    </xf>
    <xf numFmtId="0" fontId="3" fillId="0" borderId="46" xfId="0" applyFont="1" applyBorder="1" applyAlignment="1">
      <alignment horizontal="right" vertical="center" wrapText="1"/>
    </xf>
    <xf numFmtId="37" fontId="1" fillId="0" borderId="23" xfId="0" applyNumberFormat="1" applyFont="1" applyBorder="1" applyAlignment="1">
      <alignment horizontal="right" vertical="center" wrapText="1"/>
    </xf>
    <xf numFmtId="164" fontId="1" fillId="0" borderId="23" xfId="1" applyNumberFormat="1" applyFont="1" applyFill="1" applyBorder="1" applyAlignment="1">
      <alignment horizontal="right" vertical="center" wrapText="1"/>
    </xf>
    <xf numFmtId="164" fontId="3" fillId="0" borderId="23" xfId="1" applyNumberFormat="1" applyFont="1" applyFill="1" applyBorder="1" applyAlignment="1">
      <alignment horizontal="right" vertical="center" wrapText="1"/>
    </xf>
    <xf numFmtId="0" fontId="4" fillId="0" borderId="18" xfId="0" applyFont="1" applyBorder="1" applyAlignment="1">
      <alignment vertical="center" wrapText="1"/>
    </xf>
    <xf numFmtId="0" fontId="2" fillId="0" borderId="19" xfId="0" quotePrefix="1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3" fillId="0" borderId="18" xfId="0" applyFont="1" applyBorder="1" applyAlignment="1">
      <alignment horizontal="right" vertical="center" wrapText="1"/>
    </xf>
    <xf numFmtId="37" fontId="1" fillId="0" borderId="19" xfId="0" applyNumberFormat="1" applyFont="1" applyBorder="1" applyAlignment="1">
      <alignment horizontal="right" vertical="center" wrapText="1"/>
    </xf>
    <xf numFmtId="164" fontId="1" fillId="0" borderId="19" xfId="1" applyNumberFormat="1" applyFont="1" applyFill="1" applyBorder="1" applyAlignment="1">
      <alignment horizontal="right" vertical="center" wrapText="1"/>
    </xf>
    <xf numFmtId="164" fontId="3" fillId="0" borderId="19" xfId="1" applyNumberFormat="1" applyFont="1" applyFill="1" applyBorder="1" applyAlignment="1">
      <alignment horizontal="right" vertical="center" wrapText="1"/>
    </xf>
    <xf numFmtId="164" fontId="2" fillId="0" borderId="19" xfId="1" applyNumberFormat="1" applyFont="1" applyFill="1" applyBorder="1"/>
    <xf numFmtId="0" fontId="28" fillId="0" borderId="19" xfId="0" applyFont="1" applyBorder="1" applyAlignment="1">
      <alignment vertical="center" wrapText="1"/>
    </xf>
    <xf numFmtId="37" fontId="25" fillId="0" borderId="19" xfId="0" applyNumberFormat="1" applyFont="1" applyBorder="1"/>
    <xf numFmtId="37" fontId="25" fillId="0" borderId="23" xfId="0" applyNumberFormat="1" applyFont="1" applyBorder="1"/>
    <xf numFmtId="0" fontId="25" fillId="0" borderId="19" xfId="0" applyFont="1" applyBorder="1" applyAlignment="1">
      <alignment vertical="center" wrapText="1"/>
    </xf>
    <xf numFmtId="0" fontId="26" fillId="8" borderId="19" xfId="0" applyFont="1" applyFill="1" applyBorder="1" applyAlignment="1">
      <alignment vertical="center" wrapText="1"/>
    </xf>
    <xf numFmtId="0" fontId="26" fillId="8" borderId="19" xfId="0" applyFont="1" applyFill="1" applyBorder="1" applyAlignment="1">
      <alignment horizontal="right" vertical="center" wrapText="1"/>
    </xf>
    <xf numFmtId="0" fontId="26" fillId="8" borderId="23" xfId="0" applyFont="1" applyFill="1" applyBorder="1" applyAlignment="1">
      <alignment horizontal="right" vertical="center" wrapText="1"/>
    </xf>
    <xf numFmtId="3" fontId="26" fillId="8" borderId="19" xfId="0" applyNumberFormat="1" applyFont="1" applyFill="1" applyBorder="1" applyAlignment="1">
      <alignment horizontal="right" vertical="center" wrapText="1"/>
    </xf>
    <xf numFmtId="3" fontId="26" fillId="8" borderId="23" xfId="0" applyNumberFormat="1" applyFont="1" applyFill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164" fontId="8" fillId="0" borderId="3" xfId="0" applyNumberFormat="1" applyFont="1" applyBorder="1" applyAlignment="1">
      <alignment horizontal="right" vertical="center" wrapText="1"/>
    </xf>
    <xf numFmtId="0" fontId="3" fillId="0" borderId="48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164" fontId="1" fillId="0" borderId="8" xfId="1" applyNumberFormat="1" applyFont="1" applyFill="1" applyBorder="1" applyAlignment="1">
      <alignment horizontal="right" vertical="center" wrapText="1"/>
    </xf>
    <xf numFmtId="164" fontId="1" fillId="0" borderId="9" xfId="1" applyNumberFormat="1" applyFont="1" applyFill="1" applyBorder="1" applyAlignment="1">
      <alignment horizontal="right" vertical="center" wrapText="1"/>
    </xf>
    <xf numFmtId="164" fontId="1" fillId="0" borderId="12" xfId="1" applyNumberFormat="1" applyFont="1" applyFill="1" applyBorder="1" applyAlignment="1">
      <alignment horizontal="right" vertical="center" wrapText="1"/>
    </xf>
    <xf numFmtId="164" fontId="1" fillId="0" borderId="13" xfId="1" applyNumberFormat="1" applyFont="1" applyFill="1" applyBorder="1" applyAlignment="1">
      <alignment horizontal="right" vertical="center" wrapText="1"/>
    </xf>
    <xf numFmtId="0" fontId="7" fillId="0" borderId="11" xfId="0" applyFont="1" applyBorder="1" applyAlignment="1">
      <alignment vertical="center" wrapText="1"/>
    </xf>
    <xf numFmtId="164" fontId="8" fillId="0" borderId="12" xfId="0" applyNumberFormat="1" applyFont="1" applyBorder="1" applyAlignment="1">
      <alignment horizontal="right" vertical="center" wrapText="1"/>
    </xf>
    <xf numFmtId="164" fontId="8" fillId="0" borderId="13" xfId="0" applyNumberFormat="1" applyFont="1" applyBorder="1" applyAlignment="1">
      <alignment horizontal="right" vertical="center" wrapText="1"/>
    </xf>
    <xf numFmtId="0" fontId="25" fillId="0" borderId="47" xfId="0" applyFont="1" applyBorder="1"/>
    <xf numFmtId="0" fontId="25" fillId="0" borderId="6" xfId="0" applyFont="1" applyBorder="1" applyAlignment="1">
      <alignment vertical="center" wrapText="1"/>
    </xf>
    <xf numFmtId="164" fontId="25" fillId="0" borderId="0" xfId="0" applyNumberFormat="1" applyFont="1"/>
    <xf numFmtId="164" fontId="25" fillId="0" borderId="3" xfId="0" applyNumberFormat="1" applyFont="1" applyBorder="1"/>
    <xf numFmtId="0" fontId="25" fillId="0" borderId="6" xfId="0" applyFont="1" applyBorder="1"/>
    <xf numFmtId="3" fontId="28" fillId="0" borderId="0" xfId="0" applyNumberFormat="1" applyFont="1"/>
    <xf numFmtId="3" fontId="28" fillId="0" borderId="3" xfId="0" applyNumberFormat="1" applyFont="1" applyBorder="1"/>
    <xf numFmtId="0" fontId="25" fillId="0" borderId="10" xfId="0" applyFont="1" applyBorder="1" applyAlignment="1">
      <alignment vertical="center" wrapText="1"/>
    </xf>
    <xf numFmtId="0" fontId="25" fillId="0" borderId="5" xfId="0" applyFont="1" applyBorder="1"/>
    <xf numFmtId="9" fontId="25" fillId="0" borderId="5" xfId="2" applyFont="1" applyFill="1" applyBorder="1"/>
    <xf numFmtId="9" fontId="25" fillId="0" borderId="4" xfId="2" applyFont="1" applyFill="1" applyBorder="1"/>
    <xf numFmtId="10" fontId="19" fillId="9" borderId="0" xfId="2" applyNumberFormat="1" applyFont="1" applyFill="1" applyBorder="1"/>
    <xf numFmtId="10" fontId="19" fillId="9" borderId="5" xfId="2" applyNumberFormat="1" applyFont="1" applyFill="1" applyBorder="1"/>
    <xf numFmtId="10" fontId="19" fillId="9" borderId="4" xfId="2" applyNumberFormat="1" applyFont="1" applyFill="1" applyBorder="1"/>
    <xf numFmtId="9" fontId="19" fillId="9" borderId="12" xfId="2" applyFont="1" applyFill="1" applyBorder="1"/>
    <xf numFmtId="9" fontId="19" fillId="9" borderId="13" xfId="2" applyFont="1" applyFill="1" applyBorder="1"/>
    <xf numFmtId="0" fontId="4" fillId="2" borderId="18" xfId="0" applyFont="1" applyFill="1" applyBorder="1" applyAlignment="1">
      <alignment vertical="center"/>
    </xf>
    <xf numFmtId="164" fontId="4" fillId="2" borderId="18" xfId="1" applyNumberFormat="1" applyFont="1" applyFill="1" applyBorder="1" applyAlignment="1">
      <alignment horizontal="right"/>
    </xf>
    <xf numFmtId="0" fontId="2" fillId="5" borderId="20" xfId="0" quotePrefix="1" applyFont="1" applyFill="1" applyBorder="1" applyAlignment="1">
      <alignment vertical="center"/>
    </xf>
    <xf numFmtId="164" fontId="1" fillId="5" borderId="20" xfId="1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horizontal="right"/>
    </xf>
    <xf numFmtId="0" fontId="2" fillId="5" borderId="56" xfId="0" quotePrefix="1" applyFont="1" applyFill="1" applyBorder="1" applyAlignment="1">
      <alignment vertical="center"/>
    </xf>
    <xf numFmtId="164" fontId="1" fillId="5" borderId="56" xfId="1" applyNumberFormat="1" applyFont="1" applyFill="1" applyBorder="1" applyAlignment="1">
      <alignment horizontal="right"/>
    </xf>
    <xf numFmtId="0" fontId="2" fillId="5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164" fontId="4" fillId="2" borderId="19" xfId="1" applyNumberFormat="1" applyFont="1" applyFill="1" applyBorder="1" applyAlignment="1">
      <alignment horizontal="right"/>
    </xf>
    <xf numFmtId="0" fontId="4" fillId="2" borderId="36" xfId="0" applyFont="1" applyFill="1" applyBorder="1" applyAlignment="1">
      <alignment vertical="center"/>
    </xf>
    <xf numFmtId="164" fontId="4" fillId="2" borderId="36" xfId="1" applyNumberFormat="1" applyFont="1" applyFill="1" applyBorder="1" applyAlignment="1">
      <alignment horizontal="right"/>
    </xf>
    <xf numFmtId="0" fontId="2" fillId="5" borderId="56" xfId="0" applyFont="1" applyFill="1" applyBorder="1" applyAlignment="1">
      <alignment vertical="center"/>
    </xf>
    <xf numFmtId="0" fontId="2" fillId="5" borderId="42" xfId="0" applyFont="1" applyFill="1" applyBorder="1" applyAlignment="1">
      <alignment vertical="center"/>
    </xf>
    <xf numFmtId="164" fontId="1" fillId="5" borderId="42" xfId="1" applyNumberFormat="1" applyFont="1" applyFill="1" applyBorder="1" applyAlignment="1">
      <alignment horizontal="right"/>
    </xf>
    <xf numFmtId="0" fontId="7" fillId="5" borderId="56" xfId="0" applyFont="1" applyFill="1" applyBorder="1" applyAlignment="1">
      <alignment vertical="center"/>
    </xf>
    <xf numFmtId="164" fontId="8" fillId="5" borderId="56" xfId="1" applyNumberFormat="1" applyFont="1" applyFill="1" applyBorder="1" applyAlignment="1">
      <alignment horizontal="right"/>
    </xf>
    <xf numFmtId="0" fontId="25" fillId="2" borderId="1" xfId="0" applyFont="1" applyFill="1" applyBorder="1"/>
    <xf numFmtId="0" fontId="26" fillId="7" borderId="36" xfId="0" applyFont="1" applyFill="1" applyBorder="1"/>
    <xf numFmtId="43" fontId="26" fillId="7" borderId="36" xfId="1" applyFont="1" applyFill="1" applyBorder="1" applyAlignment="1"/>
    <xf numFmtId="0" fontId="33" fillId="9" borderId="0" xfId="0" applyFont="1" applyFill="1" applyAlignment="1">
      <alignment horizontal="center"/>
    </xf>
    <xf numFmtId="0" fontId="35" fillId="2" borderId="0" xfId="0" applyFont="1" applyFill="1"/>
    <xf numFmtId="0" fontId="35" fillId="2" borderId="0" xfId="0" applyFont="1" applyFill="1" applyAlignment="1">
      <alignment horizontal="left" vertical="center"/>
    </xf>
    <xf numFmtId="0" fontId="36" fillId="0" borderId="0" xfId="3"/>
    <xf numFmtId="9" fontId="19" fillId="0" borderId="15" xfId="2" applyFont="1" applyBorder="1"/>
    <xf numFmtId="9" fontId="19" fillId="0" borderId="16" xfId="2" applyFont="1" applyBorder="1"/>
    <xf numFmtId="0" fontId="22" fillId="9" borderId="8" xfId="0" applyFont="1" applyFill="1" applyBorder="1"/>
    <xf numFmtId="0" fontId="22" fillId="9" borderId="9" xfId="0" applyFont="1" applyFill="1" applyBorder="1"/>
    <xf numFmtId="164" fontId="37" fillId="9" borderId="0" xfId="1" applyNumberFormat="1" applyFont="1" applyFill="1" applyBorder="1"/>
    <xf numFmtId="164" fontId="37" fillId="9" borderId="3" xfId="1" applyNumberFormat="1" applyFont="1" applyFill="1" applyBorder="1"/>
    <xf numFmtId="164" fontId="37" fillId="9" borderId="12" xfId="1" applyNumberFormat="1" applyFont="1" applyFill="1" applyBorder="1"/>
    <xf numFmtId="164" fontId="37" fillId="9" borderId="13" xfId="1" applyNumberFormat="1" applyFont="1" applyFill="1" applyBorder="1"/>
    <xf numFmtId="0" fontId="17" fillId="3" borderId="8" xfId="0" applyFont="1" applyFill="1" applyBorder="1"/>
    <xf numFmtId="0" fontId="17" fillId="3" borderId="6" xfId="0" applyFont="1" applyFill="1" applyBorder="1"/>
    <xf numFmtId="0" fontId="17" fillId="3" borderId="0" xfId="0" applyFont="1" applyFill="1"/>
    <xf numFmtId="0" fontId="37" fillId="3" borderId="6" xfId="0" applyFont="1" applyFill="1" applyBorder="1"/>
    <xf numFmtId="0" fontId="37" fillId="3" borderId="0" xfId="0" applyFont="1" applyFill="1"/>
    <xf numFmtId="0" fontId="38" fillId="3" borderId="0" xfId="0" applyFont="1" applyFill="1"/>
    <xf numFmtId="0" fontId="37" fillId="3" borderId="11" xfId="0" applyFont="1" applyFill="1" applyBorder="1"/>
    <xf numFmtId="0" fontId="37" fillId="3" borderId="12" xfId="0" applyFont="1" applyFill="1" applyBorder="1"/>
    <xf numFmtId="0" fontId="38" fillId="3" borderId="12" xfId="0" applyFont="1" applyFill="1" applyBorder="1"/>
    <xf numFmtId="0" fontId="35" fillId="0" borderId="0" xfId="0" applyFont="1"/>
    <xf numFmtId="0" fontId="18" fillId="0" borderId="0" xfId="0" applyFont="1"/>
    <xf numFmtId="9" fontId="19" fillId="0" borderId="0" xfId="2" applyFont="1"/>
    <xf numFmtId="0" fontId="42" fillId="0" borderId="0" xfId="0" applyFont="1"/>
    <xf numFmtId="0" fontId="30" fillId="0" borderId="0" xfId="0" applyFont="1"/>
    <xf numFmtId="0" fontId="41" fillId="0" borderId="0" xfId="0" applyFont="1" applyAlignment="1">
      <alignment wrapText="1"/>
    </xf>
    <xf numFmtId="0" fontId="41" fillId="0" borderId="0" xfId="0" applyFont="1" applyAlignment="1">
      <alignment horizontal="right" wrapText="1"/>
    </xf>
    <xf numFmtId="9" fontId="44" fillId="0" borderId="0" xfId="2" applyFont="1" applyFill="1" applyBorder="1"/>
    <xf numFmtId="0" fontId="44" fillId="0" borderId="0" xfId="0" applyFont="1"/>
    <xf numFmtId="10" fontId="2" fillId="0" borderId="0" xfId="2" applyNumberFormat="1" applyFont="1" applyFill="1" applyBorder="1"/>
    <xf numFmtId="10" fontId="30" fillId="0" borderId="51" xfId="2" applyNumberFormat="1" applyFont="1" applyFill="1" applyBorder="1"/>
    <xf numFmtId="10" fontId="30" fillId="0" borderId="53" xfId="2" applyNumberFormat="1" applyFont="1" applyFill="1" applyBorder="1"/>
    <xf numFmtId="0" fontId="49" fillId="0" borderId="0" xfId="0" applyFont="1"/>
    <xf numFmtId="0" fontId="50" fillId="0" borderId="0" xfId="0" applyFont="1" applyAlignment="1">
      <alignment horizontal="right" wrapText="1"/>
    </xf>
    <xf numFmtId="0" fontId="18" fillId="0" borderId="0" xfId="0" applyFont="1" applyAlignment="1">
      <alignment vertical="center" wrapText="1"/>
    </xf>
    <xf numFmtId="0" fontId="51" fillId="6" borderId="58" xfId="0" applyFont="1" applyFill="1" applyBorder="1"/>
    <xf numFmtId="10" fontId="51" fillId="6" borderId="58" xfId="2" applyNumberFormat="1" applyFont="1" applyFill="1" applyBorder="1"/>
    <xf numFmtId="0" fontId="43" fillId="6" borderId="58" xfId="0" applyFont="1" applyFill="1" applyBorder="1" applyAlignment="1">
      <alignment horizontal="right" vertical="center"/>
    </xf>
    <xf numFmtId="0" fontId="53" fillId="0" borderId="0" xfId="0" applyFont="1"/>
    <xf numFmtId="0" fontId="50" fillId="0" borderId="0" xfId="0" applyFont="1" applyAlignment="1">
      <alignment wrapText="1"/>
    </xf>
    <xf numFmtId="0" fontId="18" fillId="10" borderId="0" xfId="0" applyFont="1" applyFill="1" applyAlignment="1">
      <alignment vertical="center" wrapText="1"/>
    </xf>
    <xf numFmtId="0" fontId="55" fillId="0" borderId="0" xfId="0" applyFont="1" applyAlignment="1">
      <alignment vertical="center"/>
    </xf>
    <xf numFmtId="0" fontId="18" fillId="10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9" fillId="0" borderId="60" xfId="0" applyFont="1" applyBorder="1" applyAlignment="1">
      <alignment horizontal="right" vertical="center"/>
    </xf>
    <xf numFmtId="0" fontId="29" fillId="0" borderId="61" xfId="0" applyFont="1" applyBorder="1" applyAlignment="1">
      <alignment horizontal="right" vertical="center"/>
    </xf>
    <xf numFmtId="0" fontId="52" fillId="6" borderId="63" xfId="0" applyFont="1" applyFill="1" applyBorder="1"/>
    <xf numFmtId="0" fontId="43" fillId="6" borderId="64" xfId="0" applyFont="1" applyFill="1" applyBorder="1" applyAlignment="1">
      <alignment horizontal="right" vertical="center"/>
    </xf>
    <xf numFmtId="0" fontId="30" fillId="3" borderId="65" xfId="0" applyFont="1" applyFill="1" applyBorder="1"/>
    <xf numFmtId="0" fontId="30" fillId="3" borderId="66" xfId="0" applyFont="1" applyFill="1" applyBorder="1"/>
    <xf numFmtId="0" fontId="30" fillId="3" borderId="67" xfId="0" applyFont="1" applyFill="1" applyBorder="1"/>
    <xf numFmtId="0" fontId="51" fillId="6" borderId="64" xfId="0" applyFont="1" applyFill="1" applyBorder="1"/>
    <xf numFmtId="10" fontId="51" fillId="6" borderId="64" xfId="2" applyNumberFormat="1" applyFont="1" applyFill="1" applyBorder="1"/>
    <xf numFmtId="0" fontId="30" fillId="3" borderId="66" xfId="0" applyFont="1" applyFill="1" applyBorder="1" applyAlignment="1">
      <alignment wrapText="1"/>
    </xf>
    <xf numFmtId="0" fontId="30" fillId="3" borderId="68" xfId="0" applyFont="1" applyFill="1" applyBorder="1" applyAlignment="1">
      <alignment wrapText="1"/>
    </xf>
    <xf numFmtId="0" fontId="52" fillId="6" borderId="69" xfId="0" applyFont="1" applyFill="1" applyBorder="1" applyAlignment="1">
      <alignment wrapText="1"/>
    </xf>
    <xf numFmtId="0" fontId="43" fillId="6" borderId="70" xfId="0" applyFont="1" applyFill="1" applyBorder="1" applyAlignment="1">
      <alignment horizontal="right" wrapText="1"/>
    </xf>
    <xf numFmtId="0" fontId="43" fillId="6" borderId="71" xfId="0" applyFont="1" applyFill="1" applyBorder="1" applyAlignment="1">
      <alignment horizontal="right" wrapText="1"/>
    </xf>
    <xf numFmtId="0" fontId="50" fillId="3" borderId="72" xfId="0" applyFont="1" applyFill="1" applyBorder="1" applyAlignment="1">
      <alignment wrapText="1"/>
    </xf>
    <xf numFmtId="0" fontId="50" fillId="3" borderId="73" xfId="0" applyFont="1" applyFill="1" applyBorder="1" applyAlignment="1">
      <alignment wrapText="1"/>
    </xf>
    <xf numFmtId="0" fontId="50" fillId="3" borderId="74" xfId="0" applyFont="1" applyFill="1" applyBorder="1" applyAlignment="1">
      <alignment wrapText="1"/>
    </xf>
    <xf numFmtId="0" fontId="52" fillId="6" borderId="63" xfId="0" applyFont="1" applyFill="1" applyBorder="1" applyAlignment="1">
      <alignment wrapText="1"/>
    </xf>
    <xf numFmtId="0" fontId="50" fillId="3" borderId="75" xfId="0" applyFont="1" applyFill="1" applyBorder="1" applyAlignment="1">
      <alignment wrapText="1"/>
    </xf>
    <xf numFmtId="0" fontId="30" fillId="3" borderId="76" xfId="0" applyFont="1" applyFill="1" applyBorder="1" applyAlignment="1">
      <alignment vertical="center" wrapText="1"/>
    </xf>
    <xf numFmtId="0" fontId="30" fillId="3" borderId="73" xfId="0" applyFont="1" applyFill="1" applyBorder="1" applyAlignment="1">
      <alignment vertical="center" wrapText="1"/>
    </xf>
    <xf numFmtId="0" fontId="30" fillId="3" borderId="73" xfId="0" applyFont="1" applyFill="1" applyBorder="1" applyAlignment="1">
      <alignment wrapText="1"/>
    </xf>
    <xf numFmtId="0" fontId="52" fillId="6" borderId="69" xfId="0" applyFont="1" applyFill="1" applyBorder="1" applyAlignment="1">
      <alignment horizontal="center" wrapText="1"/>
    </xf>
    <xf numFmtId="0" fontId="52" fillId="6" borderId="77" xfId="0" applyFont="1" applyFill="1" applyBorder="1" applyAlignment="1">
      <alignment horizontal="center" wrapText="1"/>
    </xf>
    <xf numFmtId="0" fontId="43" fillId="6" borderId="57" xfId="0" applyFont="1" applyFill="1" applyBorder="1" applyAlignment="1">
      <alignment horizontal="right" wrapText="1"/>
    </xf>
    <xf numFmtId="0" fontId="43" fillId="6" borderId="78" xfId="0" applyFont="1" applyFill="1" applyBorder="1" applyAlignment="1">
      <alignment horizontal="right" wrapText="1"/>
    </xf>
    <xf numFmtId="0" fontId="30" fillId="3" borderId="79" xfId="0" applyFont="1" applyFill="1" applyBorder="1" applyAlignment="1">
      <alignment vertical="center" wrapText="1"/>
    </xf>
    <xf numFmtId="0" fontId="44" fillId="3" borderId="67" xfId="0" applyFont="1" applyFill="1" applyBorder="1" applyAlignment="1">
      <alignment vertical="center" wrapText="1"/>
    </xf>
    <xf numFmtId="0" fontId="44" fillId="3" borderId="68" xfId="0" applyFont="1" applyFill="1" applyBorder="1" applyAlignment="1">
      <alignment vertical="center" wrapText="1"/>
    </xf>
    <xf numFmtId="0" fontId="31" fillId="3" borderId="65" xfId="0" applyFont="1" applyFill="1" applyBorder="1" applyAlignment="1">
      <alignment vertical="center" wrapText="1"/>
    </xf>
    <xf numFmtId="0" fontId="31" fillId="3" borderId="66" xfId="0" applyFont="1" applyFill="1" applyBorder="1" applyAlignment="1">
      <alignment vertical="center" wrapText="1"/>
    </xf>
    <xf numFmtId="0" fontId="30" fillId="3" borderId="65" xfId="0" applyFont="1" applyFill="1" applyBorder="1" applyAlignment="1">
      <alignment vertical="center" wrapText="1"/>
    </xf>
    <xf numFmtId="0" fontId="30" fillId="3" borderId="66" xfId="0" applyFont="1" applyFill="1" applyBorder="1" applyAlignment="1">
      <alignment vertical="center" wrapText="1"/>
    </xf>
    <xf numFmtId="0" fontId="44" fillId="3" borderId="62" xfId="0" applyFont="1" applyFill="1" applyBorder="1" applyAlignment="1">
      <alignment vertical="center" wrapText="1"/>
    </xf>
    <xf numFmtId="0" fontId="31" fillId="3" borderId="84" xfId="0" applyFont="1" applyFill="1" applyBorder="1" applyAlignment="1">
      <alignment vertical="center" wrapText="1"/>
    </xf>
    <xf numFmtId="0" fontId="43" fillId="6" borderId="70" xfId="0" applyFont="1" applyFill="1" applyBorder="1" applyAlignment="1">
      <alignment horizontal="right" vertical="center" wrapText="1"/>
    </xf>
    <xf numFmtId="0" fontId="43" fillId="6" borderId="71" xfId="0" applyFont="1" applyFill="1" applyBorder="1" applyAlignment="1">
      <alignment horizontal="right" vertical="center" wrapText="1"/>
    </xf>
    <xf numFmtId="0" fontId="50" fillId="3" borderId="65" xfId="0" applyFont="1" applyFill="1" applyBorder="1"/>
    <xf numFmtId="0" fontId="50" fillId="3" borderId="66" xfId="0" applyFont="1" applyFill="1" applyBorder="1"/>
    <xf numFmtId="0" fontId="44" fillId="3" borderId="83" xfId="0" applyFont="1" applyFill="1" applyBorder="1"/>
    <xf numFmtId="0" fontId="44" fillId="3" borderId="68" xfId="0" applyFont="1" applyFill="1" applyBorder="1"/>
    <xf numFmtId="0" fontId="44" fillId="3" borderId="67" xfId="0" applyFont="1" applyFill="1" applyBorder="1"/>
    <xf numFmtId="0" fontId="52" fillId="6" borderId="81" xfId="0" applyFont="1" applyFill="1" applyBorder="1" applyAlignment="1">
      <alignment vertical="center"/>
    </xf>
    <xf numFmtId="0" fontId="43" fillId="6" borderId="80" xfId="0" applyFont="1" applyFill="1" applyBorder="1" applyAlignment="1">
      <alignment horizontal="right" vertical="center" wrapText="1"/>
    </xf>
    <xf numFmtId="0" fontId="43" fillId="6" borderId="82" xfId="0" applyFont="1" applyFill="1" applyBorder="1" applyAlignment="1">
      <alignment horizontal="right" vertical="center" wrapText="1"/>
    </xf>
    <xf numFmtId="10" fontId="30" fillId="0" borderId="85" xfId="2" applyNumberFormat="1" applyFont="1" applyFill="1" applyBorder="1"/>
    <xf numFmtId="10" fontId="30" fillId="0" borderId="86" xfId="2" applyNumberFormat="1" applyFont="1" applyFill="1" applyBorder="1"/>
    <xf numFmtId="10" fontId="30" fillId="0" borderId="87" xfId="2" applyNumberFormat="1" applyFont="1" applyFill="1" applyBorder="1"/>
    <xf numFmtId="9" fontId="44" fillId="0" borderId="85" xfId="2" applyFont="1" applyFill="1" applyBorder="1"/>
    <xf numFmtId="9" fontId="44" fillId="0" borderId="86" xfId="2" applyFont="1" applyFill="1" applyBorder="1"/>
    <xf numFmtId="9" fontId="44" fillId="0" borderId="87" xfId="2" applyFont="1" applyFill="1" applyBorder="1"/>
    <xf numFmtId="0" fontId="43" fillId="6" borderId="88" xfId="0" applyFont="1" applyFill="1" applyBorder="1" applyAlignment="1">
      <alignment horizontal="right" vertical="center" wrapText="1"/>
    </xf>
    <xf numFmtId="0" fontId="43" fillId="6" borderId="89" xfId="0" applyFont="1" applyFill="1" applyBorder="1" applyAlignment="1">
      <alignment horizontal="right" vertical="center" wrapText="1"/>
    </xf>
    <xf numFmtId="0" fontId="43" fillId="6" borderId="90" xfId="0" applyFont="1" applyFill="1" applyBorder="1" applyAlignment="1">
      <alignment horizontal="right" vertical="center" wrapText="1"/>
    </xf>
    <xf numFmtId="9" fontId="44" fillId="0" borderId="91" xfId="2" applyFont="1" applyFill="1" applyBorder="1"/>
    <xf numFmtId="9" fontId="44" fillId="0" borderId="92" xfId="2" applyFont="1" applyFill="1" applyBorder="1"/>
    <xf numFmtId="9" fontId="44" fillId="0" borderId="93" xfId="2" applyFont="1" applyFill="1" applyBorder="1"/>
    <xf numFmtId="9" fontId="30" fillId="0" borderId="85" xfId="2" applyFont="1" applyFill="1" applyBorder="1"/>
    <xf numFmtId="9" fontId="30" fillId="0" borderId="86" xfId="2" applyFont="1" applyFill="1" applyBorder="1"/>
    <xf numFmtId="9" fontId="30" fillId="0" borderId="87" xfId="2" applyFont="1" applyFill="1" applyBorder="1"/>
    <xf numFmtId="9" fontId="50" fillId="0" borderId="85" xfId="2" applyFont="1" applyFill="1" applyBorder="1"/>
    <xf numFmtId="9" fontId="50" fillId="0" borderId="86" xfId="2" applyFont="1" applyFill="1" applyBorder="1"/>
    <xf numFmtId="9" fontId="50" fillId="0" borderId="87" xfId="2" applyFont="1" applyFill="1" applyBorder="1"/>
    <xf numFmtId="9" fontId="44" fillId="0" borderId="94" xfId="2" applyFont="1" applyFill="1" applyBorder="1"/>
    <xf numFmtId="9" fontId="44" fillId="0" borderId="95" xfId="2" applyFont="1" applyFill="1" applyBorder="1"/>
    <xf numFmtId="9" fontId="44" fillId="0" borderId="96" xfId="2" applyFont="1" applyFill="1" applyBorder="1"/>
    <xf numFmtId="10" fontId="30" fillId="0" borderId="97" xfId="2" applyNumberFormat="1" applyFont="1" applyFill="1" applyBorder="1"/>
    <xf numFmtId="10" fontId="30" fillId="0" borderId="100" xfId="2" applyNumberFormat="1" applyFont="1" applyFill="1" applyBorder="1"/>
    <xf numFmtId="9" fontId="30" fillId="0" borderId="101" xfId="2" applyFont="1" applyFill="1" applyBorder="1"/>
    <xf numFmtId="9" fontId="30" fillId="0" borderId="102" xfId="2" applyFont="1" applyFill="1" applyBorder="1"/>
    <xf numFmtId="9" fontId="30" fillId="0" borderId="103" xfId="2" applyFont="1" applyFill="1" applyBorder="1"/>
    <xf numFmtId="9" fontId="30" fillId="0" borderId="104" xfId="2" applyFont="1" applyFill="1" applyBorder="1"/>
    <xf numFmtId="9" fontId="30" fillId="0" borderId="105" xfId="2" applyFont="1" applyFill="1" applyBorder="1"/>
    <xf numFmtId="9" fontId="30" fillId="0" borderId="106" xfId="2" applyFont="1" applyFill="1" applyBorder="1"/>
    <xf numFmtId="9" fontId="30" fillId="0" borderId="107" xfId="2" applyFont="1" applyFill="1" applyBorder="1"/>
    <xf numFmtId="9" fontId="44" fillId="0" borderId="108" xfId="2" applyFont="1" applyFill="1" applyBorder="1" applyAlignment="1">
      <alignment vertical="center" wrapText="1"/>
    </xf>
    <xf numFmtId="9" fontId="44" fillId="0" borderId="109" xfId="2" applyFont="1" applyFill="1" applyBorder="1" applyAlignment="1">
      <alignment vertical="center" wrapText="1"/>
    </xf>
    <xf numFmtId="9" fontId="44" fillId="0" borderId="110" xfId="2" applyFont="1" applyFill="1" applyBorder="1" applyAlignment="1">
      <alignment vertical="center" wrapText="1"/>
    </xf>
    <xf numFmtId="0" fontId="30" fillId="3" borderId="84" xfId="0" applyFont="1" applyFill="1" applyBorder="1" applyAlignment="1">
      <alignment vertical="center" wrapText="1"/>
    </xf>
    <xf numFmtId="164" fontId="30" fillId="0" borderId="114" xfId="1" applyNumberFormat="1" applyFont="1" applyBorder="1"/>
    <xf numFmtId="164" fontId="30" fillId="0" borderId="115" xfId="1" applyNumberFormat="1" applyFont="1" applyBorder="1"/>
    <xf numFmtId="164" fontId="30" fillId="0" borderId="116" xfId="1" applyNumberFormat="1" applyFont="1" applyBorder="1"/>
    <xf numFmtId="3" fontId="30" fillId="0" borderId="97" xfId="0" applyNumberFormat="1" applyFont="1" applyBorder="1" applyAlignment="1">
      <alignment horizontal="right" wrapText="1"/>
    </xf>
    <xf numFmtId="3" fontId="30" fillId="0" borderId="98" xfId="0" applyNumberFormat="1" applyFont="1" applyBorder="1" applyAlignment="1">
      <alignment horizontal="right" wrapText="1"/>
    </xf>
    <xf numFmtId="3" fontId="30" fillId="0" borderId="99" xfId="0" applyNumberFormat="1" applyFont="1" applyBorder="1" applyAlignment="1">
      <alignment horizontal="right" wrapText="1"/>
    </xf>
    <xf numFmtId="10" fontId="30" fillId="0" borderId="111" xfId="2" applyNumberFormat="1" applyFont="1" applyBorder="1"/>
    <xf numFmtId="10" fontId="30" fillId="0" borderId="112" xfId="2" applyNumberFormat="1" applyFont="1" applyBorder="1"/>
    <xf numFmtId="10" fontId="30" fillId="0" borderId="113" xfId="2" applyNumberFormat="1" applyFont="1" applyBorder="1"/>
    <xf numFmtId="10" fontId="30" fillId="0" borderId="97" xfId="2" applyNumberFormat="1" applyFont="1" applyBorder="1"/>
    <xf numFmtId="10" fontId="30" fillId="0" borderId="98" xfId="2" applyNumberFormat="1" applyFont="1" applyBorder="1"/>
    <xf numFmtId="10" fontId="30" fillId="0" borderId="99" xfId="2" applyNumberFormat="1" applyFont="1" applyBorder="1"/>
    <xf numFmtId="165" fontId="30" fillId="0" borderId="114" xfId="2" applyNumberFormat="1" applyFont="1" applyBorder="1"/>
    <xf numFmtId="165" fontId="30" fillId="0" borderId="115" xfId="2" applyNumberFormat="1" applyFont="1" applyBorder="1"/>
    <xf numFmtId="165" fontId="30" fillId="0" borderId="116" xfId="2" applyNumberFormat="1" applyFont="1" applyBorder="1"/>
    <xf numFmtId="3" fontId="50" fillId="0" borderId="104" xfId="0" applyNumberFormat="1" applyFont="1" applyBorder="1" applyAlignment="1">
      <alignment horizontal="right" wrapText="1"/>
    </xf>
    <xf numFmtId="3" fontId="50" fillId="0" borderId="105" xfId="0" applyNumberFormat="1" applyFont="1" applyBorder="1" applyAlignment="1">
      <alignment horizontal="right" wrapText="1"/>
    </xf>
    <xf numFmtId="3" fontId="50" fillId="0" borderId="106" xfId="0" applyNumberFormat="1" applyFont="1" applyBorder="1" applyAlignment="1">
      <alignment horizontal="right" wrapText="1"/>
    </xf>
    <xf numFmtId="3" fontId="50" fillId="0" borderId="117" xfId="0" applyNumberFormat="1" applyFont="1" applyBorder="1" applyAlignment="1">
      <alignment horizontal="right" wrapText="1"/>
    </xf>
    <xf numFmtId="3" fontId="50" fillId="0" borderId="118" xfId="0" applyNumberFormat="1" applyFont="1" applyBorder="1" applyAlignment="1">
      <alignment horizontal="right" wrapText="1"/>
    </xf>
    <xf numFmtId="3" fontId="50" fillId="0" borderId="119" xfId="0" applyNumberFormat="1" applyFont="1" applyBorder="1" applyAlignment="1">
      <alignment horizontal="right" wrapText="1"/>
    </xf>
    <xf numFmtId="3" fontId="50" fillId="0" borderId="123" xfId="0" applyNumberFormat="1" applyFont="1" applyBorder="1" applyAlignment="1">
      <alignment horizontal="right" wrapText="1"/>
    </xf>
    <xf numFmtId="3" fontId="50" fillId="0" borderId="124" xfId="0" applyNumberFormat="1" applyFont="1" applyBorder="1" applyAlignment="1">
      <alignment horizontal="right" wrapText="1"/>
    </xf>
    <xf numFmtId="3" fontId="50" fillId="0" borderId="125" xfId="0" applyNumberFormat="1" applyFont="1" applyBorder="1" applyAlignment="1">
      <alignment horizontal="right" wrapText="1"/>
    </xf>
    <xf numFmtId="10" fontId="30" fillId="0" borderId="127" xfId="2" applyNumberFormat="1" applyFont="1" applyFill="1" applyBorder="1"/>
    <xf numFmtId="10" fontId="30" fillId="0" borderId="129" xfId="2" applyNumberFormat="1" applyFont="1" applyFill="1" applyBorder="1"/>
    <xf numFmtId="10" fontId="30" fillId="0" borderId="131" xfId="2" applyNumberFormat="1" applyFont="1" applyFill="1" applyBorder="1"/>
    <xf numFmtId="10" fontId="30" fillId="0" borderId="132" xfId="2" applyNumberFormat="1" applyFont="1" applyFill="1" applyBorder="1"/>
    <xf numFmtId="0" fontId="52" fillId="6" borderId="82" xfId="0" applyFont="1" applyFill="1" applyBorder="1" applyAlignment="1">
      <alignment vertical="center"/>
    </xf>
    <xf numFmtId="9" fontId="48" fillId="0" borderId="53" xfId="2" applyFont="1" applyFill="1" applyBorder="1" applyAlignment="1"/>
    <xf numFmtId="9" fontId="48" fillId="0" borderId="129" xfId="2" applyFont="1" applyFill="1" applyBorder="1" applyAlignment="1"/>
    <xf numFmtId="0" fontId="30" fillId="3" borderId="126" xfId="0" applyFont="1" applyFill="1" applyBorder="1"/>
    <xf numFmtId="0" fontId="30" fillId="3" borderId="128" xfId="0" applyFont="1" applyFill="1" applyBorder="1"/>
    <xf numFmtId="0" fontId="30" fillId="3" borderId="130" xfId="0" applyFont="1" applyFill="1" applyBorder="1"/>
    <xf numFmtId="9" fontId="45" fillId="3" borderId="134" xfId="2" applyFont="1" applyFill="1" applyBorder="1" applyAlignment="1"/>
    <xf numFmtId="9" fontId="45" fillId="3" borderId="135" xfId="2" applyFont="1" applyFill="1" applyBorder="1" applyAlignment="1"/>
    <xf numFmtId="9" fontId="45" fillId="3" borderId="136" xfId="2" applyFont="1" applyFill="1" applyBorder="1" applyAlignment="1"/>
    <xf numFmtId="9" fontId="45" fillId="3" borderId="137" xfId="2" applyFont="1" applyFill="1" applyBorder="1" applyAlignment="1"/>
    <xf numFmtId="0" fontId="45" fillId="3" borderId="128" xfId="0" applyFont="1" applyFill="1" applyBorder="1" applyAlignment="1">
      <alignment vertical="center"/>
    </xf>
    <xf numFmtId="0" fontId="45" fillId="3" borderId="133" xfId="0" applyFont="1" applyFill="1" applyBorder="1" applyAlignment="1">
      <alignment vertical="center"/>
    </xf>
    <xf numFmtId="0" fontId="45" fillId="3" borderId="130" xfId="0" applyFont="1" applyFill="1" applyBorder="1" applyAlignment="1">
      <alignment vertical="center"/>
    </xf>
    <xf numFmtId="0" fontId="46" fillId="0" borderId="128" xfId="0" quotePrefix="1" applyFont="1" applyBorder="1" applyAlignment="1">
      <alignment vertical="center"/>
    </xf>
    <xf numFmtId="0" fontId="46" fillId="0" borderId="128" xfId="0" applyFont="1" applyBorder="1" applyAlignment="1">
      <alignment vertical="center"/>
    </xf>
    <xf numFmtId="0" fontId="47" fillId="0" borderId="128" xfId="0" applyFont="1" applyBorder="1" applyAlignment="1">
      <alignment vertical="center"/>
    </xf>
    <xf numFmtId="0" fontId="53" fillId="11" borderId="0" xfId="0" applyFont="1" applyFill="1"/>
    <xf numFmtId="164" fontId="25" fillId="0" borderId="19" xfId="0" applyNumberFormat="1" applyFont="1" applyBorder="1" applyAlignment="1">
      <alignment vertical="center" wrapText="1"/>
    </xf>
    <xf numFmtId="164" fontId="25" fillId="0" borderId="19" xfId="0" applyNumberFormat="1" applyFont="1" applyBorder="1"/>
    <xf numFmtId="164" fontId="25" fillId="0" borderId="23" xfId="0" applyNumberFormat="1" applyFont="1" applyBorder="1"/>
    <xf numFmtId="164" fontId="25" fillId="0" borderId="19" xfId="1" applyNumberFormat="1" applyFont="1" applyFill="1" applyBorder="1" applyAlignment="1">
      <alignment vertical="center" wrapText="1"/>
    </xf>
    <xf numFmtId="0" fontId="26" fillId="6" borderId="8" xfId="0" applyFont="1" applyFill="1" applyBorder="1"/>
    <xf numFmtId="0" fontId="26" fillId="6" borderId="9" xfId="0" applyFont="1" applyFill="1" applyBorder="1"/>
    <xf numFmtId="10" fontId="50" fillId="0" borderId="117" xfId="2" applyNumberFormat="1" applyFont="1" applyBorder="1" applyAlignment="1">
      <alignment horizontal="right" wrapText="1"/>
    </xf>
    <xf numFmtId="10" fontId="50" fillId="0" borderId="104" xfId="2" applyNumberFormat="1" applyFont="1" applyBorder="1" applyAlignment="1">
      <alignment horizontal="right" wrapText="1"/>
    </xf>
    <xf numFmtId="10" fontId="50" fillId="0" borderId="105" xfId="2" applyNumberFormat="1" applyFont="1" applyBorder="1" applyAlignment="1">
      <alignment horizontal="right" wrapText="1"/>
    </xf>
    <xf numFmtId="10" fontId="50" fillId="0" borderId="106" xfId="2" applyNumberFormat="1" applyFont="1" applyBorder="1" applyAlignment="1">
      <alignment horizontal="right" wrapText="1"/>
    </xf>
    <xf numFmtId="2" fontId="50" fillId="0" borderId="120" xfId="0" applyNumberFormat="1" applyFont="1" applyBorder="1" applyAlignment="1">
      <alignment horizontal="right" wrapText="1"/>
    </xf>
    <xf numFmtId="2" fontId="50" fillId="0" borderId="121" xfId="0" applyNumberFormat="1" applyFont="1" applyBorder="1" applyAlignment="1">
      <alignment horizontal="right" wrapText="1"/>
    </xf>
    <xf numFmtId="2" fontId="50" fillId="0" borderId="122" xfId="0" applyNumberFormat="1" applyFont="1" applyBorder="1" applyAlignment="1">
      <alignment horizontal="right" wrapText="1"/>
    </xf>
    <xf numFmtId="9" fontId="44" fillId="0" borderId="101" xfId="2" applyFont="1" applyFill="1" applyBorder="1"/>
    <xf numFmtId="9" fontId="30" fillId="0" borderId="94" xfId="2" applyFont="1" applyFill="1" applyBorder="1"/>
    <xf numFmtId="9" fontId="30" fillId="0" borderId="95" xfId="2" applyFont="1" applyFill="1" applyBorder="1"/>
    <xf numFmtId="9" fontId="30" fillId="0" borderId="96" xfId="2" applyFont="1" applyFill="1" applyBorder="1"/>
    <xf numFmtId="0" fontId="4" fillId="3" borderId="28" xfId="0" applyFont="1" applyFill="1" applyBorder="1" applyAlignment="1">
      <alignment vertical="center" wrapText="1"/>
    </xf>
    <xf numFmtId="43" fontId="30" fillId="0" borderId="111" xfId="1" applyFont="1" applyBorder="1"/>
    <xf numFmtId="0" fontId="0" fillId="0" borderId="1" xfId="0" applyBorder="1"/>
    <xf numFmtId="164" fontId="0" fillId="0" borderId="1" xfId="1" applyNumberFormat="1" applyFont="1" applyBorder="1"/>
    <xf numFmtId="164" fontId="56" fillId="0" borderId="1" xfId="1" applyNumberFormat="1" applyFont="1" applyBorder="1"/>
    <xf numFmtId="10" fontId="56" fillId="0" borderId="1" xfId="2" applyNumberFormat="1" applyFont="1" applyBorder="1"/>
    <xf numFmtId="0" fontId="23" fillId="0" borderId="0" xfId="0" applyFont="1"/>
    <xf numFmtId="10" fontId="14" fillId="7" borderId="1" xfId="2" applyNumberFormat="1" applyFont="1" applyFill="1" applyBorder="1"/>
    <xf numFmtId="0" fontId="54" fillId="0" borderId="59" xfId="0" applyFont="1" applyBorder="1"/>
    <xf numFmtId="0" fontId="4" fillId="2" borderId="42" xfId="0" applyFont="1" applyFill="1" applyBorder="1" applyAlignment="1">
      <alignment vertical="center"/>
    </xf>
    <xf numFmtId="164" fontId="4" fillId="2" borderId="42" xfId="1" applyNumberFormat="1" applyFont="1" applyFill="1" applyBorder="1" applyAlignment="1">
      <alignment horizontal="right"/>
    </xf>
    <xf numFmtId="0" fontId="10" fillId="3" borderId="26" xfId="0" applyFont="1" applyFill="1" applyBorder="1" applyAlignment="1">
      <alignment vertical="center" wrapText="1"/>
    </xf>
    <xf numFmtId="3" fontId="3" fillId="0" borderId="40" xfId="0" applyNumberFormat="1" applyFont="1" applyBorder="1" applyAlignment="1">
      <alignment horizontal="right" vertical="center" wrapText="1"/>
    </xf>
    <xf numFmtId="3" fontId="3" fillId="0" borderId="19" xfId="0" applyNumberFormat="1" applyFont="1" applyBorder="1" applyAlignment="1">
      <alignment horizontal="right" vertical="center" wrapText="1"/>
    </xf>
    <xf numFmtId="3" fontId="3" fillId="0" borderId="41" xfId="0" applyNumberFormat="1" applyFont="1" applyBorder="1" applyAlignment="1">
      <alignment horizontal="right" vertical="center" wrapText="1"/>
    </xf>
    <xf numFmtId="3" fontId="3" fillId="0" borderId="42" xfId="0" applyNumberFormat="1" applyFont="1" applyBorder="1" applyAlignment="1">
      <alignment horizontal="right" vertical="center" wrapText="1"/>
    </xf>
    <xf numFmtId="43" fontId="30" fillId="0" borderId="114" xfId="1" applyFont="1" applyBorder="1"/>
    <xf numFmtId="10" fontId="0" fillId="0" borderId="0" xfId="2" applyNumberFormat="1" applyFont="1"/>
    <xf numFmtId="0" fontId="26" fillId="6" borderId="0" xfId="0" applyFont="1" applyFill="1"/>
    <xf numFmtId="164" fontId="26" fillId="7" borderId="28" xfId="1" applyNumberFormat="1" applyFont="1" applyFill="1" applyBorder="1"/>
    <xf numFmtId="3" fontId="25" fillId="0" borderId="43" xfId="0" applyNumberFormat="1" applyFont="1" applyBorder="1" applyAlignment="1">
      <alignment horizontal="right" vertical="center" wrapText="1"/>
    </xf>
    <xf numFmtId="3" fontId="25" fillId="0" borderId="32" xfId="0" applyNumberFormat="1" applyFont="1" applyBorder="1" applyAlignment="1">
      <alignment horizontal="right" vertical="center" wrapText="1"/>
    </xf>
    <xf numFmtId="0" fontId="57" fillId="0" borderId="0" xfId="0" applyFont="1" applyAlignment="1">
      <alignment horizontal="right" vertical="center" wrapText="1"/>
    </xf>
    <xf numFmtId="10" fontId="0" fillId="0" borderId="0" xfId="0" applyNumberFormat="1"/>
    <xf numFmtId="0" fontId="2" fillId="3" borderId="14" xfId="0" applyFont="1" applyFill="1" applyBorder="1"/>
    <xf numFmtId="164" fontId="2" fillId="0" borderId="15" xfId="1" applyNumberFormat="1" applyFont="1" applyFill="1" applyBorder="1" applyAlignment="1">
      <alignment vertical="center"/>
    </xf>
    <xf numFmtId="3" fontId="2" fillId="0" borderId="15" xfId="0" applyNumberFormat="1" applyFont="1" applyBorder="1" applyAlignment="1">
      <alignment vertical="center"/>
    </xf>
    <xf numFmtId="164" fontId="2" fillId="0" borderId="16" xfId="1" applyNumberFormat="1" applyFont="1" applyFill="1" applyBorder="1" applyAlignment="1">
      <alignment vertical="center"/>
    </xf>
    <xf numFmtId="0" fontId="2" fillId="3" borderId="0" xfId="0" applyFont="1" applyFill="1"/>
    <xf numFmtId="164" fontId="2" fillId="0" borderId="0" xfId="1" applyNumberFormat="1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0" fontId="30" fillId="3" borderId="138" xfId="0" applyFont="1" applyFill="1" applyBorder="1"/>
    <xf numFmtId="2" fontId="30" fillId="0" borderId="108" xfId="0" applyNumberFormat="1" applyFont="1" applyBorder="1" applyAlignment="1">
      <alignment horizontal="right" wrapText="1"/>
    </xf>
    <xf numFmtId="2" fontId="30" fillId="0" borderId="109" xfId="0" applyNumberFormat="1" applyFont="1" applyBorder="1" applyAlignment="1">
      <alignment horizontal="right" wrapText="1"/>
    </xf>
    <xf numFmtId="2" fontId="30" fillId="0" borderId="110" xfId="0" applyNumberFormat="1" applyFont="1" applyBorder="1" applyAlignment="1">
      <alignment horizontal="right" wrapText="1"/>
    </xf>
    <xf numFmtId="0" fontId="26" fillId="8" borderId="0" xfId="0" applyFont="1" applyFill="1"/>
    <xf numFmtId="0" fontId="26" fillId="8" borderId="0" xfId="0" applyFont="1" applyFill="1" applyAlignment="1">
      <alignment horizontal="right" vertical="center" wrapText="1"/>
    </xf>
    <xf numFmtId="0" fontId="14" fillId="6" borderId="0" xfId="0" applyFont="1" applyFill="1"/>
    <xf numFmtId="0" fontId="19" fillId="0" borderId="0" xfId="0" applyFont="1" applyAlignment="1">
      <alignment horizontal="left" vertical="top"/>
    </xf>
    <xf numFmtId="0" fontId="40" fillId="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23" fillId="3" borderId="7" xfId="0" applyFont="1" applyFill="1" applyBorder="1" applyAlignment="1">
      <alignment horizontal="left"/>
    </xf>
    <xf numFmtId="0" fontId="23" fillId="3" borderId="8" xfId="0" applyFont="1" applyFill="1" applyBorder="1" applyAlignment="1">
      <alignment horizontal="left"/>
    </xf>
    <xf numFmtId="0" fontId="19" fillId="3" borderId="11" xfId="0" applyFont="1" applyFill="1" applyBorder="1" applyAlignment="1">
      <alignment horizontal="left"/>
    </xf>
    <xf numFmtId="0" fontId="19" fillId="3" borderId="12" xfId="0" applyFont="1" applyFill="1" applyBorder="1" applyAlignment="1">
      <alignment horizontal="left"/>
    </xf>
    <xf numFmtId="0" fontId="19" fillId="3" borderId="6" xfId="0" applyFont="1" applyFill="1" applyBorder="1" applyAlignment="1">
      <alignment horizontal="left"/>
    </xf>
    <xf numFmtId="0" fontId="19" fillId="3" borderId="0" xfId="0" applyFont="1" applyFill="1" applyAlignment="1">
      <alignment horizontal="left"/>
    </xf>
    <xf numFmtId="0" fontId="23" fillId="3" borderId="6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b="1">
                <a:solidFill>
                  <a:srgbClr val="00B050"/>
                </a:solidFill>
              </a:rPr>
              <a:t>Đòn bẩy tài chính của Ngân hàng</a:t>
            </a:r>
            <a:endParaRPr lang="vi-V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67950820318696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8944329507522"/>
          <c:y val="0.18508974710804538"/>
          <c:w val="0.8130801440245532"/>
          <c:h val="0.7324133033788699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DASHBOARD!$B$305</c:f>
              <c:strCache>
                <c:ptCount val="1"/>
                <c:pt idx="0">
                  <c:v>Vốn chủ sở hữu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DASHBOARD!$E$304:$I$304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DASHBOARD!$E$305:$I$305</c:f>
              <c:numCache>
                <c:formatCode>#,##0</c:formatCode>
                <c:ptCount val="5"/>
                <c:pt idx="0">
                  <c:v>80882982</c:v>
                </c:pt>
                <c:pt idx="1">
                  <c:v>94094979</c:v>
                </c:pt>
                <c:pt idx="2">
                  <c:v>109117393</c:v>
                </c:pt>
                <c:pt idx="3">
                  <c:v>135646085</c:v>
                </c:pt>
                <c:pt idx="4">
                  <c:v>165012666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18-4F4F-B673-FF681050E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939536"/>
        <c:axId val="534941504"/>
      </c:lineChart>
      <c:lineChart>
        <c:grouping val="standard"/>
        <c:varyColors val="0"/>
        <c:ser>
          <c:idx val="1"/>
          <c:order val="1"/>
          <c:tx>
            <c:strRef>
              <c:f>DASHBOARD!$B$306</c:f>
              <c:strCache>
                <c:ptCount val="1"/>
                <c:pt idx="0">
                  <c:v>Đòn bẩy tài chính (A/E)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DASHBOARD!$E$304:$I$304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DASHBOARD!$E$306:$I$306</c:f>
              <c:numCache>
                <c:formatCode>0.00</c:formatCode>
                <c:ptCount val="5"/>
                <c:pt idx="0">
                  <c:v>15.117133762452033</c:v>
                </c:pt>
                <c:pt idx="1">
                  <c:v>14.094589382925523</c:v>
                </c:pt>
                <c:pt idx="2">
                  <c:v>12.964684621818265</c:v>
                </c:pt>
                <c:pt idx="3">
                  <c:v>13.371673572444056</c:v>
                </c:pt>
                <c:pt idx="4">
                  <c:v>11.14831511176239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18-4F4F-B673-FF681050E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925760"/>
        <c:axId val="534924448"/>
      </c:lineChart>
      <c:catAx>
        <c:axId val="53493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34941504"/>
        <c:crosses val="autoZero"/>
        <c:auto val="1"/>
        <c:lblAlgn val="ctr"/>
        <c:lblOffset val="100"/>
        <c:noMultiLvlLbl val="0"/>
      </c:catAx>
      <c:valAx>
        <c:axId val="5349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34939536"/>
        <c:crosses val="autoZero"/>
        <c:crossBetween val="between"/>
        <c:majorUnit val="3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Ngìn</a:t>
                  </a:r>
                  <a:r>
                    <a:rPr lang="en-US" baseline="0"/>
                    <a:t> tỷ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534924448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34925760"/>
        <c:crosses val="max"/>
        <c:crossBetween val="between"/>
      </c:valAx>
      <c:catAx>
        <c:axId val="534925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4924448"/>
        <c:crosses val="autoZero"/>
        <c:auto val="1"/>
        <c:lblAlgn val="ctr"/>
        <c:lblOffset val="100"/>
        <c:noMultiLvlLbl val="0"/>
      </c:catAx>
      <c:spPr>
        <a:solidFill>
          <a:sysClr val="window" lastClr="FFFFFF">
            <a:lumMod val="95000"/>
            <a:alpha val="10000"/>
          </a:sysClr>
        </a:solidFill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4.9695802726193818E-4"/>
          <c:y val="6.1852246352206826E-2"/>
          <c:w val="0.62432215382131717"/>
          <c:h val="7.5182966163786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An toàn vốn theo chuẩn mực Basel 2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6.6666666666666729E-4"/>
          <c:y val="8.903605209597348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2924723691243"/>
          <c:y val="0.17947629397683437"/>
          <c:w val="0.80085903833183425"/>
          <c:h val="0.74616815614235976"/>
        </c:manualLayout>
      </c:layout>
      <c:areaChart>
        <c:grouping val="stacked"/>
        <c:varyColors val="0"/>
        <c:ser>
          <c:idx val="0"/>
          <c:order val="0"/>
          <c:tx>
            <c:strRef>
              <c:f>DASHBOARD!$B$309</c:f>
              <c:strCache>
                <c:ptCount val="1"/>
                <c:pt idx="0">
                  <c:v>Vốn cấp 1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cat>
            <c:numRef>
              <c:f>DASHBOARD!$E$308:$I$308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DASHBOARD!$E$309:$I$309</c:f>
              <c:numCache>
                <c:formatCode>_(* #,##0_);_(* \(#,##0\);_(* "-"??_);_(@_)</c:formatCode>
                <c:ptCount val="5"/>
                <c:pt idx="0">
                  <c:v>80343947</c:v>
                </c:pt>
                <c:pt idx="1">
                  <c:v>93667389</c:v>
                </c:pt>
                <c:pt idx="2">
                  <c:v>108687714</c:v>
                </c:pt>
                <c:pt idx="3">
                  <c:v>134749957</c:v>
                </c:pt>
                <c:pt idx="4">
                  <c:v>164110931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2-4528-AC08-1FF02987431A}"/>
            </c:ext>
          </c:extLst>
        </c:ser>
        <c:ser>
          <c:idx val="1"/>
          <c:order val="1"/>
          <c:tx>
            <c:strRef>
              <c:f>DASHBOARD!$B$310</c:f>
              <c:strCache>
                <c:ptCount val="1"/>
                <c:pt idx="0">
                  <c:v>Vốn cấp 2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DASHBOARD!$E$308:$I$308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DASHBOARD!$E$310:$I$310</c:f>
              <c:numCache>
                <c:formatCode>_(* #,##0_);_(* \(#,##0\);_(* "-"??_);_(@_)</c:formatCode>
                <c:ptCount val="5"/>
                <c:pt idx="0">
                  <c:v>14738247</c:v>
                </c:pt>
                <c:pt idx="1">
                  <c:v>11814657</c:v>
                </c:pt>
                <c:pt idx="2">
                  <c:v>12478403</c:v>
                </c:pt>
                <c:pt idx="3">
                  <c:v>14651330</c:v>
                </c:pt>
                <c:pt idx="4">
                  <c:v>16720193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2-4528-AC08-1FF02987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607176"/>
        <c:axId val="426605536"/>
      </c:areaChart>
      <c:lineChart>
        <c:grouping val="standard"/>
        <c:varyColors val="0"/>
        <c:ser>
          <c:idx val="2"/>
          <c:order val="2"/>
          <c:tx>
            <c:strRef>
              <c:f>DASHBOARD!$B$311</c:f>
              <c:strCache>
                <c:ptCount val="1"/>
                <c:pt idx="0">
                  <c:v>Hệ số CAR</c:v>
                </c:pt>
              </c:strCache>
            </c:strRef>
          </c:tx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tint val="65000"/>
                </a:schemeClr>
              </a:solidFill>
              <a:ln w="9525">
                <a:solidFill>
                  <a:schemeClr val="accent3">
                    <a:tint val="65000"/>
                  </a:schemeClr>
                </a:solidFill>
              </a:ln>
              <a:effectLst/>
            </c:spPr>
          </c:marker>
          <c:cat>
            <c:numRef>
              <c:f>DASHBOARD!$E$308:$I$308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DASHBOARD!$E$311:$I$311</c:f>
              <c:numCache>
                <c:formatCode>0.00%</c:formatCode>
                <c:ptCount val="5"/>
                <c:pt idx="0">
                  <c:v>9.3356699410758803E-2</c:v>
                </c:pt>
                <c:pt idx="1">
                  <c:v>9.5606190159060855E-2</c:v>
                </c:pt>
                <c:pt idx="2">
                  <c:v>9.3130095700845558E-2</c:v>
                </c:pt>
                <c:pt idx="3">
                  <c:v>9.9506567066239435E-2</c:v>
                </c:pt>
                <c:pt idx="4">
                  <c:v>0.11392226238887244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2-4528-AC08-1FF02987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905096"/>
        <c:axId val="534896896"/>
      </c:lineChart>
      <c:catAx>
        <c:axId val="42660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26605536"/>
        <c:crosses val="autoZero"/>
        <c:auto val="1"/>
        <c:lblAlgn val="ctr"/>
        <c:lblOffset val="100"/>
        <c:noMultiLvlLbl val="0"/>
      </c:catAx>
      <c:valAx>
        <c:axId val="4266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26607176"/>
        <c:crosses val="autoZero"/>
        <c:crossBetween val="between"/>
        <c:majorUnit val="3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Nghìn</a:t>
                  </a:r>
                  <a:r>
                    <a:rPr lang="en-US" baseline="0"/>
                    <a:t> tỷ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53489689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34905096"/>
        <c:crosses val="max"/>
        <c:crossBetween val="between"/>
        <c:majorUnit val="4.0000000000000008E-2"/>
      </c:valAx>
      <c:catAx>
        <c:axId val="534905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4896896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4.3044619422572173E-4"/>
          <c:y val="7.9295736865844776E-2"/>
          <c:w val="0.66025"/>
          <c:h val="7.525894540355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 cấu tài sản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5345581802274446E-3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09869132523125"/>
          <c:y val="0.19428295421405659"/>
          <c:w val="0.85267663174953234"/>
          <c:h val="0.702646179644211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DASHBOARD!$B$319</c:f>
              <c:strCache>
                <c:ptCount val="1"/>
                <c:pt idx="0">
                  <c:v>Dự trữ thanh khoản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DASHBOARD!$E$318:$I$318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DASHBOARD!$E$319:$I$319</c:f>
              <c:numCache>
                <c:formatCode>#,##0</c:formatCode>
                <c:ptCount val="5"/>
                <c:pt idx="0">
                  <c:v>297932821</c:v>
                </c:pt>
                <c:pt idx="1">
                  <c:v>316204412</c:v>
                </c:pt>
                <c:pt idx="2">
                  <c:v>266283023</c:v>
                </c:pt>
                <c:pt idx="3">
                  <c:v>424543787</c:v>
                </c:pt>
                <c:pt idx="4">
                  <c:v>409077959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6-4A2E-929F-8BE4C9033BCF}"/>
            </c:ext>
          </c:extLst>
        </c:ser>
        <c:ser>
          <c:idx val="1"/>
          <c:order val="1"/>
          <c:tx>
            <c:strRef>
              <c:f>DASHBOARD!$B$320</c:f>
              <c:strCache>
                <c:ptCount val="1"/>
                <c:pt idx="0">
                  <c:v>Vay 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DASHBOARD!$E$318:$I$318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DASHBOARD!$E$320:$I$320</c:f>
              <c:numCache>
                <c:formatCode>#,##0</c:formatCode>
                <c:ptCount val="5"/>
                <c:pt idx="0">
                  <c:v>724290102</c:v>
                </c:pt>
                <c:pt idx="1">
                  <c:v>820545467</c:v>
                </c:pt>
                <c:pt idx="2">
                  <c:v>934774287</c:v>
                </c:pt>
                <c:pt idx="3">
                  <c:v>1120286832</c:v>
                </c:pt>
                <c:pt idx="4">
                  <c:v>1241675333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6-4A2E-929F-8BE4C9033BCF}"/>
            </c:ext>
          </c:extLst>
        </c:ser>
        <c:ser>
          <c:idx val="2"/>
          <c:order val="2"/>
          <c:tx>
            <c:strRef>
              <c:f>DASHBOARD!$B$321</c:f>
              <c:strCache>
                <c:ptCount val="1"/>
                <c:pt idx="0">
                  <c:v>Đầu tư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DASHBOARD!$E$318:$I$318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DASHBOARD!$E$321:$I$321</c:f>
              <c:numCache>
                <c:formatCode>#,##0</c:formatCode>
                <c:ptCount val="5"/>
                <c:pt idx="0">
                  <c:v>171795308</c:v>
                </c:pt>
                <c:pt idx="1">
                  <c:v>161124164</c:v>
                </c:pt>
                <c:pt idx="2">
                  <c:v>175716974</c:v>
                </c:pt>
                <c:pt idx="3">
                  <c:v>199864435</c:v>
                </c:pt>
                <c:pt idx="4">
                  <c:v>150500420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6-4A2E-929F-8BE4C9033BCF}"/>
            </c:ext>
          </c:extLst>
        </c:ser>
        <c:ser>
          <c:idx val="3"/>
          <c:order val="3"/>
          <c:tx>
            <c:strRef>
              <c:f>DASHBOARD!$B$322</c:f>
              <c:strCache>
                <c:ptCount val="1"/>
                <c:pt idx="0">
                  <c:v>Tài sản cố định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DASHBOARD!$E$318:$I$318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DASHBOARD!$E$322:$I$322</c:f>
              <c:numCache>
                <c:formatCode>#,##0</c:formatCode>
                <c:ptCount val="5"/>
                <c:pt idx="0">
                  <c:v>6710443</c:v>
                </c:pt>
                <c:pt idx="1">
                  <c:v>8539362</c:v>
                </c:pt>
                <c:pt idx="2">
                  <c:v>8626043</c:v>
                </c:pt>
                <c:pt idx="3">
                  <c:v>7985400</c:v>
                </c:pt>
                <c:pt idx="4">
                  <c:v>7708181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46-4A2E-929F-8BE4C9033BCF}"/>
            </c:ext>
          </c:extLst>
        </c:ser>
        <c:ser>
          <c:idx val="4"/>
          <c:order val="4"/>
          <c:tx>
            <c:strRef>
              <c:f>DASHBOARD!$B$323</c:f>
              <c:strCache>
                <c:ptCount val="1"/>
                <c:pt idx="0">
                  <c:v>Tài sản có khác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DASHBOARD!$E$318:$I$318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DASHBOARD!$E$323:$I$323</c:f>
              <c:numCache>
                <c:formatCode>#,##0</c:formatCode>
                <c:ptCount val="5"/>
                <c:pt idx="0">
                  <c:v>21891872</c:v>
                </c:pt>
                <c:pt idx="1">
                  <c:v>19816687</c:v>
                </c:pt>
                <c:pt idx="2">
                  <c:v>28969058</c:v>
                </c:pt>
                <c:pt idx="3">
                  <c:v>60978201</c:v>
                </c:pt>
                <c:pt idx="4">
                  <c:v>30651305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46-4A2E-929F-8BE4C903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9309624"/>
        <c:axId val="649302408"/>
      </c:barChart>
      <c:catAx>
        <c:axId val="64930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49302408"/>
        <c:crosses val="autoZero"/>
        <c:auto val="1"/>
        <c:lblAlgn val="ctr"/>
        <c:lblOffset val="100"/>
        <c:noMultiLvlLbl val="0"/>
      </c:catAx>
      <c:valAx>
        <c:axId val="64930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49309624"/>
        <c:crosses val="autoZero"/>
        <c:crossBetween val="between"/>
        <c:majorUnit val="400000000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Triệu</a:t>
                  </a:r>
                  <a:r>
                    <a:rPr lang="en-US" baseline="0"/>
                    <a:t> tỷ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7.992182197759426E-2"/>
          <c:w val="0.8763169694287386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Hiệu quả quản lý hoạt động tín dụng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2.9309355902987027E-4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874099791834"/>
          <c:y val="0.19793780985710119"/>
          <c:w val="0.80116906932358445"/>
          <c:h val="0.7003029308836396"/>
        </c:manualLayout>
      </c:layout>
      <c:lineChart>
        <c:grouping val="standard"/>
        <c:varyColors val="0"/>
        <c:ser>
          <c:idx val="1"/>
          <c:order val="1"/>
          <c:tx>
            <c:strRef>
              <c:f>DASHBOARD!$B$331</c:f>
              <c:strCache>
                <c:ptCount val="1"/>
                <c:pt idx="0">
                  <c:v>Khả năng bù đắp nợ xấu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cat>
            <c:numRef>
              <c:f>DASHBOARD!$E$329:$I$329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DASHBOARD!$E$331:$I$331</c:f>
              <c:numCache>
                <c:formatCode>0%</c:formatCode>
                <c:ptCount val="5"/>
                <c:pt idx="0">
                  <c:v>1.7947810562251494</c:v>
                </c:pt>
                <c:pt idx="1">
                  <c:v>3.67961375019624</c:v>
                </c:pt>
                <c:pt idx="2">
                  <c:v>4.2436080408708987</c:v>
                </c:pt>
                <c:pt idx="3">
                  <c:v>3.1685529461904927</c:v>
                </c:pt>
                <c:pt idx="4">
                  <c:v>2.3029916498373701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BB-42D7-9124-F929CB430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294736"/>
        <c:axId val="431294408"/>
      </c:lineChart>
      <c:lineChart>
        <c:grouping val="standard"/>
        <c:varyColors val="0"/>
        <c:ser>
          <c:idx val="0"/>
          <c:order val="0"/>
          <c:tx>
            <c:strRef>
              <c:f>DASHBOARD!$B$330</c:f>
              <c:strCache>
                <c:ptCount val="1"/>
                <c:pt idx="0">
                  <c:v>Tỷ lệ nợ xấu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shade val="76000"/>
                </a:schemeClr>
              </a:solidFill>
              <a:ln w="9525">
                <a:solidFill>
                  <a:schemeClr val="accent3">
                    <a:shade val="76000"/>
                  </a:schemeClr>
                </a:solidFill>
              </a:ln>
              <a:effectLst/>
            </c:spPr>
          </c:marker>
          <c:cat>
            <c:numRef>
              <c:f>DASHBOARD!$E$329:$I$329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DASHBOARD!$E$330:$I$330</c:f>
              <c:numCache>
                <c:formatCode>0.00%</c:formatCode>
                <c:ptCount val="5"/>
                <c:pt idx="0">
                  <c:v>7.899657769781283E-3</c:v>
                </c:pt>
                <c:pt idx="1">
                  <c:v>6.2272470846076759E-3</c:v>
                </c:pt>
                <c:pt idx="2">
                  <c:v>6.3711978003683587E-3</c:v>
                </c:pt>
                <c:pt idx="3">
                  <c:v>6.8296668424206895E-3</c:v>
                </c:pt>
                <c:pt idx="4">
                  <c:v>9.8042890423280325E-3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BB-42D7-9124-F929CB430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601296"/>
        <c:axId val="585595720"/>
      </c:lineChart>
      <c:catAx>
        <c:axId val="43129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31294408"/>
        <c:crosses val="autoZero"/>
        <c:auto val="1"/>
        <c:lblAlgn val="ctr"/>
        <c:lblOffset val="100"/>
        <c:noMultiLvlLbl val="0"/>
      </c:catAx>
      <c:valAx>
        <c:axId val="43129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31294736"/>
        <c:crosses val="autoZero"/>
        <c:crossBetween val="between"/>
        <c:majorUnit val="1"/>
      </c:valAx>
      <c:valAx>
        <c:axId val="585595720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85601296"/>
        <c:crosses val="max"/>
        <c:crossBetween val="between"/>
        <c:majorUnit val="4.000000000000001E-3"/>
      </c:valAx>
      <c:catAx>
        <c:axId val="58560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559572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5.3415648847824852E-3"/>
          <c:y val="9.3055555555555558E-2"/>
          <c:w val="0.61101309919477542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Hiệu quả sử dụng tài sản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7.6944444444444334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8643919510062"/>
          <c:y val="0.21182669874599008"/>
          <c:w val="0.86595800524934385"/>
          <c:h val="0.686414041994750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DASHBOARD!$B$326</c:f>
              <c:strCache>
                <c:ptCount val="1"/>
                <c:pt idx="0">
                  <c:v>Tỷ lệ tài sản sinh lãi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DASHBOARD!$E$325:$I$325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DASHBOARD!$E$326:$I$326</c:f>
              <c:numCache>
                <c:formatCode>0.00%</c:formatCode>
                <c:ptCount val="5"/>
                <c:pt idx="0">
                  <c:v>0.96324299923408885</c:v>
                </c:pt>
                <c:pt idx="1">
                  <c:v>0.96554862593179647</c:v>
                </c:pt>
                <c:pt idx="2">
                  <c:v>0.95881998030120874</c:v>
                </c:pt>
                <c:pt idx="3">
                  <c:v>0.95056707735000368</c:v>
                </c:pt>
                <c:pt idx="4">
                  <c:v>0.97005387868499082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D-43BA-AFBF-75872A6D787F}"/>
            </c:ext>
          </c:extLst>
        </c:ser>
        <c:ser>
          <c:idx val="1"/>
          <c:order val="1"/>
          <c:tx>
            <c:strRef>
              <c:f>DASHBOARD!$B$327</c:f>
              <c:strCache>
                <c:ptCount val="1"/>
                <c:pt idx="0">
                  <c:v>Tỷ lệ cho vay trên huy đồng (LDR)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DASHBOARD!$E$325:$I$325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DASHBOARD!$E$327:$I$327</c:f>
              <c:numCache>
                <c:formatCode>0.00%</c:formatCode>
                <c:ptCount val="5"/>
                <c:pt idx="0">
                  <c:v>0.79249999999999998</c:v>
                </c:pt>
                <c:pt idx="1">
                  <c:v>0.82180000000000009</c:v>
                </c:pt>
                <c:pt idx="2">
                  <c:v>0.86180000000000012</c:v>
                </c:pt>
                <c:pt idx="3">
                  <c:v>0.91670000000000007</c:v>
                </c:pt>
                <c:pt idx="4">
                  <c:v>0.91659999999999997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9D-43BA-AFBF-75872A6D7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047048"/>
        <c:axId val="513043440"/>
      </c:barChart>
      <c:catAx>
        <c:axId val="51304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13043440"/>
        <c:crosses val="autoZero"/>
        <c:auto val="1"/>
        <c:lblAlgn val="ctr"/>
        <c:lblOffset val="100"/>
        <c:noMultiLvlLbl val="0"/>
      </c:catAx>
      <c:valAx>
        <c:axId val="513043440"/>
        <c:scaling>
          <c:orientation val="minMax"/>
          <c:max val="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13047048"/>
        <c:crosses val="autoZero"/>
        <c:crossBetween val="between"/>
        <c:majorUnit val="0.1"/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6.7749343832020983E-3"/>
          <c:y val="8.2430737824438619E-2"/>
          <c:w val="0.9701619405540185"/>
          <c:h val="6.78612576170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9804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Hiệu quả hoạt động tín dụng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4.6041119860017691E-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DASHBOARD!$B$335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DASHBOARD!$E$333:$I$333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DASHBOARD!$E$335:$I$335</c:f>
              <c:numCache>
                <c:formatCode>0.00%</c:formatCode>
                <c:ptCount val="5"/>
                <c:pt idx="1">
                  <c:v>2.9520606318159413E-2</c:v>
                </c:pt>
                <c:pt idx="2">
                  <c:v>3.2158001302399437E-2</c:v>
                </c:pt>
                <c:pt idx="3">
                  <c:v>3.4569245063446677E-2</c:v>
                </c:pt>
                <c:pt idx="4">
                  <c:v>3.0564723103545337E-2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3-4883-B9BB-4884E898C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80344"/>
        <c:axId val="500454760"/>
      </c:barChart>
      <c:lineChart>
        <c:grouping val="standard"/>
        <c:varyColors val="0"/>
        <c:ser>
          <c:idx val="0"/>
          <c:order val="0"/>
          <c:tx>
            <c:strRef>
              <c:f>DASHBOARD!$B$334</c:f>
              <c:strCache>
                <c:ptCount val="1"/>
                <c:pt idx="0">
                  <c:v>Tăng trưởng tín dụng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shade val="76000"/>
                </a:schemeClr>
              </a:solidFill>
              <a:ln w="9525">
                <a:solidFill>
                  <a:schemeClr val="accent3">
                    <a:shade val="76000"/>
                  </a:schemeClr>
                </a:solidFill>
              </a:ln>
              <a:effectLst/>
            </c:spPr>
          </c:marker>
          <c:cat>
            <c:numRef>
              <c:f>DASHBOARD!$E$333:$I$333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DASHBOARD!$E$334:$I$334</c:f>
              <c:numCache>
                <c:formatCode>0.00%</c:formatCode>
                <c:ptCount val="5"/>
                <c:pt idx="1">
                  <c:v>0.13289614856561993</c:v>
                </c:pt>
                <c:pt idx="2">
                  <c:v>0.13921083546732937</c:v>
                </c:pt>
                <c:pt idx="3">
                  <c:v>0.19845704741769388</c:v>
                </c:pt>
                <c:pt idx="4">
                  <c:v>0.1083548405039183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B3-4883-B9BB-4884E898C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357184"/>
        <c:axId val="649360792"/>
      </c:lineChart>
      <c:catAx>
        <c:axId val="64935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49360792"/>
        <c:crosses val="autoZero"/>
        <c:auto val="1"/>
        <c:lblAlgn val="ctr"/>
        <c:lblOffset val="100"/>
        <c:noMultiLvlLbl val="0"/>
      </c:catAx>
      <c:valAx>
        <c:axId val="64936079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49357184"/>
        <c:crosses val="autoZero"/>
        <c:crossBetween val="between"/>
        <c:majorUnit val="5.000000000000001E-2"/>
      </c:valAx>
      <c:valAx>
        <c:axId val="500454760"/>
        <c:scaling>
          <c:orientation val="minMax"/>
          <c:min val="1.0000000000000002E-2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00480344"/>
        <c:crosses val="max"/>
        <c:crossBetween val="between"/>
        <c:majorUnit val="5.000000000000001E-3"/>
      </c:valAx>
      <c:catAx>
        <c:axId val="500480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045476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5.8180227471559142E-5"/>
          <c:y val="0.10231481481481482"/>
          <c:w val="0.49189793341773164"/>
          <c:h val="7.4955835194040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 cấu dư nợ theo nhóm ngành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3.346237334862061E-3"/>
          <c:y val="4.667755853075651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8643919510062"/>
          <c:y val="0.161000864656971"/>
          <c:w val="0.86595800524934385"/>
          <c:h val="0.74523912657956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DASHBOARD!$B$349</c:f>
              <c:strCache>
                <c:ptCount val="1"/>
                <c:pt idx="0">
                  <c:v>Khách hàng cá nhân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DASHBOARD!$E$348:$I$348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DASHBOARD!$E$349:$I$349</c:f>
              <c:numCache>
                <c:formatCode>0.00%</c:formatCode>
                <c:ptCount val="5"/>
                <c:pt idx="0">
                  <c:v>0.42980620417237925</c:v>
                </c:pt>
                <c:pt idx="1">
                  <c:v>0.45338998135864633</c:v>
                </c:pt>
                <c:pt idx="2">
                  <c:v>0.46640954045113642</c:v>
                </c:pt>
                <c:pt idx="3">
                  <c:v>0.47189389784215541</c:v>
                </c:pt>
                <c:pt idx="4">
                  <c:v>0.44580010924124441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A-45CB-85A3-61713F36B492}"/>
            </c:ext>
          </c:extLst>
        </c:ser>
        <c:ser>
          <c:idx val="1"/>
          <c:order val="1"/>
          <c:tx>
            <c:strRef>
              <c:f>DASHBOARD!$B$350</c:f>
              <c:strCache>
                <c:ptCount val="1"/>
                <c:pt idx="0">
                  <c:v>Khách hàng doanh nghiệp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DASHBOARD!$E$348:$I$348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DASHBOARD!$E$350:$I$350</c:f>
              <c:numCache>
                <c:formatCode>0.00%</c:formatCode>
                <c:ptCount val="5"/>
                <c:pt idx="0">
                  <c:v>0.57019379582762075</c:v>
                </c:pt>
                <c:pt idx="1">
                  <c:v>0.54661001864135361</c:v>
                </c:pt>
                <c:pt idx="2">
                  <c:v>0.53359045954886364</c:v>
                </c:pt>
                <c:pt idx="3">
                  <c:v>0.52810610215784459</c:v>
                </c:pt>
                <c:pt idx="4">
                  <c:v>0.55419989075875553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A-45CB-85A3-61713F36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6601928"/>
        <c:axId val="426600616"/>
      </c:barChart>
      <c:catAx>
        <c:axId val="42660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26600616"/>
        <c:crosses val="autoZero"/>
        <c:auto val="1"/>
        <c:lblAlgn val="ctr"/>
        <c:lblOffset val="100"/>
        <c:noMultiLvlLbl val="0"/>
      </c:catAx>
      <c:valAx>
        <c:axId val="426600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26601928"/>
        <c:crosses val="autoZero"/>
        <c:crossBetween val="between"/>
        <c:majorUnit val="0.5"/>
      </c:valAx>
      <c:spPr>
        <a:noFill/>
        <a:ln w="6350">
          <a:solidFill>
            <a:sysClr val="window" lastClr="FFFFFF">
              <a:lumMod val="85000"/>
            </a:sysClr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8.0216495596765205E-2"/>
          <c:w val="0.681712148872614"/>
          <c:h val="6.8035763288384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 cấu dư nợ theo nhóm ngành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7.98048084104950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47722571573831E-2"/>
          <c:y val="0.25475580222731037"/>
          <c:w val="0.87313209134555669"/>
          <c:h val="0.653579143615486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DASHBOARD!$B$338</c:f>
              <c:strCache>
                <c:ptCount val="1"/>
                <c:pt idx="0">
                  <c:v>Công nghiệp</c:v>
                </c:pt>
              </c:strCache>
            </c:strRef>
          </c:tx>
          <c:spPr>
            <a:solidFill>
              <a:schemeClr val="accent3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DASHBOARD!$E$338:$I$338</c:f>
              <c:numCache>
                <c:formatCode>0.00%</c:formatCode>
                <c:ptCount val="5"/>
                <c:pt idx="0">
                  <c:v>0.23687360515038369</c:v>
                </c:pt>
                <c:pt idx="1">
                  <c:v>0.21257907414354771</c:v>
                </c:pt>
                <c:pt idx="2">
                  <c:v>0.21135304554867243</c:v>
                </c:pt>
                <c:pt idx="3">
                  <c:v>0.21281165784075812</c:v>
                </c:pt>
                <c:pt idx="4">
                  <c:v>0.22071410052366786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B-4B29-8E7E-1EF698E78DD5}"/>
            </c:ext>
          </c:extLst>
        </c:ser>
        <c:ser>
          <c:idx val="1"/>
          <c:order val="1"/>
          <c:tx>
            <c:strRef>
              <c:f>DASHBOARD!$B$339</c:f>
              <c:strCache>
                <c:ptCount val="1"/>
                <c:pt idx="0">
                  <c:v>Tiện ích điện nước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DASHBOARD!$E$339:$I$339</c:f>
              <c:numCache>
                <c:formatCode>0.00%</c:formatCode>
                <c:ptCount val="5"/>
                <c:pt idx="0">
                  <c:v>4.1392725959882144E-2</c:v>
                </c:pt>
                <c:pt idx="1">
                  <c:v>4.8028107647006033E-2</c:v>
                </c:pt>
                <c:pt idx="2">
                  <c:v>6.225704793293485E-2</c:v>
                </c:pt>
                <c:pt idx="3">
                  <c:v>5.119000756506447E-2</c:v>
                </c:pt>
                <c:pt idx="4">
                  <c:v>4.3275171208333171E-2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B-4B29-8E7E-1EF698E78DD5}"/>
            </c:ext>
          </c:extLst>
        </c:ser>
        <c:ser>
          <c:idx val="2"/>
          <c:order val="2"/>
          <c:tx>
            <c:strRef>
              <c:f>DASHBOARD!$B$340</c:f>
              <c:strCache>
                <c:ptCount val="1"/>
                <c:pt idx="0">
                  <c:v>Xây dựng</c:v>
                </c:pt>
              </c:strCache>
            </c:strRef>
          </c:tx>
          <c:spPr>
            <a:solidFill>
              <a:schemeClr val="accent3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DASHBOARD!$E$340:$I$340</c:f>
              <c:numCache>
                <c:formatCode>0.00%</c:formatCode>
                <c:ptCount val="5"/>
                <c:pt idx="0">
                  <c:v>4.4041470682217948E-2</c:v>
                </c:pt>
                <c:pt idx="1">
                  <c:v>8.4870827933614085E-2</c:v>
                </c:pt>
                <c:pt idx="2">
                  <c:v>9.0167812706272776E-2</c:v>
                </c:pt>
                <c:pt idx="3">
                  <c:v>6.5597900558155481E-2</c:v>
                </c:pt>
                <c:pt idx="4">
                  <c:v>6.3833154919989712E-2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B-4B29-8E7E-1EF698E78DD5}"/>
            </c:ext>
          </c:extLst>
        </c:ser>
        <c:ser>
          <c:idx val="3"/>
          <c:order val="3"/>
          <c:tx>
            <c:strRef>
              <c:f>DASHBOARD!$B$341</c:f>
              <c:strCache>
                <c:ptCount val="1"/>
                <c:pt idx="0">
                  <c:v>Vận tải kho bãi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DASHBOARD!$E$341:$I$341</c:f>
              <c:numCache>
                <c:formatCode>0.00%</c:formatCode>
                <c:ptCount val="5"/>
                <c:pt idx="0">
                  <c:v>3.3676836712832739E-2</c:v>
                </c:pt>
                <c:pt idx="1">
                  <c:v>3.1964740693130503E-2</c:v>
                </c:pt>
                <c:pt idx="2">
                  <c:v>2.9888464579735527E-2</c:v>
                </c:pt>
                <c:pt idx="3">
                  <c:v>2.7584022321852558E-2</c:v>
                </c:pt>
                <c:pt idx="4">
                  <c:v>2.6329699341733646E-2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FB-4B29-8E7E-1EF698E78DD5}"/>
            </c:ext>
          </c:extLst>
        </c:ser>
        <c:ser>
          <c:idx val="4"/>
          <c:order val="4"/>
          <c:tx>
            <c:strRef>
              <c:f>DASHBOARD!$B$342</c:f>
              <c:strCache>
                <c:ptCount val="1"/>
                <c:pt idx="0">
                  <c:v>Khai khoáng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DASHBOARD!$E$342:$I$342</c:f>
              <c:numCache>
                <c:formatCode>0.00%</c:formatCode>
                <c:ptCount val="5"/>
                <c:pt idx="0">
                  <c:v>1.9679741917651348E-2</c:v>
                </c:pt>
                <c:pt idx="1">
                  <c:v>1.7375398868548844E-2</c:v>
                </c:pt>
                <c:pt idx="2">
                  <c:v>1.5700352543862466E-2</c:v>
                </c:pt>
                <c:pt idx="3">
                  <c:v>1.6666294199134766E-2</c:v>
                </c:pt>
                <c:pt idx="4">
                  <c:v>1.6069011760264453E-2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B-4B29-8E7E-1EF698E78DD5}"/>
            </c:ext>
          </c:extLst>
        </c:ser>
        <c:ser>
          <c:idx val="5"/>
          <c:order val="5"/>
          <c:tx>
            <c:strRef>
              <c:f>DASHBOARD!$B$343</c:f>
              <c:strCache>
                <c:ptCount val="1"/>
                <c:pt idx="0">
                  <c:v>Nông, lâm, thủy hải sản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DASHBOARD!$E$343:$I$343</c:f>
              <c:numCache>
                <c:formatCode>0.00%</c:formatCode>
                <c:ptCount val="5"/>
                <c:pt idx="0">
                  <c:v>2.1944296695047605E-2</c:v>
                </c:pt>
                <c:pt idx="1">
                  <c:v>2.0325596096895191E-2</c:v>
                </c:pt>
                <c:pt idx="2">
                  <c:v>2.6121512542771858E-2</c:v>
                </c:pt>
                <c:pt idx="3">
                  <c:v>3.152719678883209E-2</c:v>
                </c:pt>
                <c:pt idx="4">
                  <c:v>3.0489530480115032E-2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FB-4B29-8E7E-1EF698E78DD5}"/>
            </c:ext>
          </c:extLst>
        </c:ser>
        <c:ser>
          <c:idx val="6"/>
          <c:order val="6"/>
          <c:tx>
            <c:strRef>
              <c:f>DASHBOARD!$B$344</c:f>
              <c:strCache>
                <c:ptCount val="1"/>
                <c:pt idx="0">
                  <c:v>Nhà hàng, khách sạn</c:v>
                </c:pt>
              </c:strCache>
            </c:strRef>
          </c:tx>
          <c:spPr>
            <a:solidFill>
              <a:schemeClr val="accent3">
                <a:tint val="72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DASHBOARD!$E$344:$I$344</c:f>
              <c:numCache>
                <c:formatCode>0.00%</c:formatCode>
                <c:ptCount val="5"/>
                <c:pt idx="0">
                  <c:v>1.7473619966360165E-2</c:v>
                </c:pt>
                <c:pt idx="1">
                  <c:v>1.2105993227261842E-2</c:v>
                </c:pt>
                <c:pt idx="2">
                  <c:v>1.7613038555906048E-2</c:v>
                </c:pt>
                <c:pt idx="3">
                  <c:v>1.5963165450034004E-2</c:v>
                </c:pt>
                <c:pt idx="4">
                  <c:v>1.5446153191317763E-2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FB-4B29-8E7E-1EF698E78DD5}"/>
            </c:ext>
          </c:extLst>
        </c:ser>
        <c:ser>
          <c:idx val="7"/>
          <c:order val="7"/>
          <c:tx>
            <c:strRef>
              <c:f>DASHBOARD!$B$345</c:f>
              <c:strCache>
                <c:ptCount val="1"/>
                <c:pt idx="0">
                  <c:v>Thương mại dịch vụ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DASHBOARD!$E$345:$I$345</c:f>
              <c:numCache>
                <c:formatCode>0.00%</c:formatCode>
                <c:ptCount val="5"/>
                <c:pt idx="0">
                  <c:v>0.17946828131764453</c:v>
                </c:pt>
                <c:pt idx="1">
                  <c:v>0.24145733444587886</c:v>
                </c:pt>
                <c:pt idx="2">
                  <c:v>0.1584308531141175</c:v>
                </c:pt>
                <c:pt idx="3">
                  <c:v>0.16109413669296427</c:v>
                </c:pt>
                <c:pt idx="4">
                  <c:v>0.16071702574397753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FB-4B29-8E7E-1EF698E78DD5}"/>
            </c:ext>
          </c:extLst>
        </c:ser>
        <c:ser>
          <c:idx val="8"/>
          <c:order val="8"/>
          <c:tx>
            <c:strRef>
              <c:f>DASHBOARD!$B$346</c:f>
              <c:strCache>
                <c:ptCount val="1"/>
                <c:pt idx="0">
                  <c:v>Dư nợ khác</c:v>
                </c:pt>
              </c:strCache>
            </c:strRef>
          </c:tx>
          <c:spPr>
            <a:solidFill>
              <a:schemeClr val="accent3">
                <a:tint val="44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DASHBOARD!$E$337:$I$337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DASHBOARD!$E$346:$I$346</c:f>
              <c:numCache>
                <c:formatCode>0.00%</c:formatCode>
                <c:ptCount val="5"/>
                <c:pt idx="0">
                  <c:v>0.40544942159797981</c:v>
                </c:pt>
                <c:pt idx="1">
                  <c:v>0.33129292694411694</c:v>
                </c:pt>
                <c:pt idx="2">
                  <c:v>0.38846787247572651</c:v>
                </c:pt>
                <c:pt idx="3">
                  <c:v>0.41756561858320423</c:v>
                </c:pt>
                <c:pt idx="4">
                  <c:v>0.42312615283060084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FB-4B29-8E7E-1EF698E78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8788624"/>
        <c:axId val="658791248"/>
      </c:barChart>
      <c:catAx>
        <c:axId val="65878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91248"/>
        <c:crosses val="autoZero"/>
        <c:auto val="1"/>
        <c:lblAlgn val="ctr"/>
        <c:lblOffset val="100"/>
        <c:noMultiLvlLbl val="0"/>
      </c:catAx>
      <c:valAx>
        <c:axId val="6587912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88624"/>
        <c:crosses val="autoZero"/>
        <c:crossBetween val="between"/>
        <c:majorUnit val="0.5"/>
      </c:valAx>
      <c:spPr>
        <a:noFill/>
        <a:ln>
          <a:solidFill>
            <a:sysClr val="window" lastClr="FFFFFF">
              <a:lumMod val="85000"/>
            </a:sysClr>
          </a:solidFill>
        </a:ln>
        <a:effectLst/>
      </c:spPr>
    </c:plotArea>
    <c:legend>
      <c:legendPos val="t"/>
      <c:layout>
        <c:manualLayout>
          <c:xMode val="edge"/>
          <c:yMode val="edge"/>
          <c:x val="1.3161272372258479E-2"/>
          <c:y val="6.5913194132029992E-2"/>
          <c:w val="0.95948897321772819"/>
          <c:h val="0.141400789722382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Hiệu quả hoạt động đầu tư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7.3600174978128373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2265966754156"/>
          <c:y val="0.20256743948673084"/>
          <c:w val="0.75274934383202097"/>
          <c:h val="0.695673301254009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DASHBOARD!$B$363</c:f>
              <c:strCache>
                <c:ptCount val="1"/>
                <c:pt idx="0">
                  <c:v>Lợi nhuận từ hoạt động đầu tư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DASHBOARD!$E$362:$I$362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DASHBOARD!$E$363:$I$363</c:f>
              <c:numCache>
                <c:formatCode>_(* #,##0_);_(* \(#,##0\);_(* "-"??_);_(@_)</c:formatCode>
                <c:ptCount val="5"/>
                <c:pt idx="0">
                  <c:v>398118</c:v>
                </c:pt>
                <c:pt idx="1">
                  <c:v>463097</c:v>
                </c:pt>
                <c:pt idx="2">
                  <c:v>148798</c:v>
                </c:pt>
                <c:pt idx="3">
                  <c:v>174837</c:v>
                </c:pt>
                <c:pt idx="4">
                  <c:v>390673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F-4D31-9686-913A08EE3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756808"/>
        <c:axId val="658755824"/>
      </c:barChart>
      <c:lineChart>
        <c:grouping val="standard"/>
        <c:varyColors val="0"/>
        <c:ser>
          <c:idx val="1"/>
          <c:order val="1"/>
          <c:tx>
            <c:strRef>
              <c:f>DASHBOARD!$B$364</c:f>
              <c:strCache>
                <c:ptCount val="1"/>
                <c:pt idx="0">
                  <c:v>Tỷ lệ sinh lời từ hoạt động đầu tư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cat>
            <c:numRef>
              <c:f>DASHBOARD!$E$362:$I$362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DASHBOARD!$E$364:$I$364</c:f>
              <c:numCache>
                <c:formatCode>0.00%</c:formatCode>
                <c:ptCount val="5"/>
                <c:pt idx="1">
                  <c:v>5.7483246274593553E-3</c:v>
                </c:pt>
                <c:pt idx="2">
                  <c:v>1.6936098615037611E-3</c:v>
                </c:pt>
                <c:pt idx="3">
                  <c:v>1.749555892722985E-3</c:v>
                </c:pt>
                <c:pt idx="4">
                  <c:v>5.1916532857516282E-3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0F-4D31-9686-913A08EE3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770912"/>
        <c:axId val="658763368"/>
      </c:lineChart>
      <c:catAx>
        <c:axId val="65875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55824"/>
        <c:crosses val="autoZero"/>
        <c:auto val="1"/>
        <c:lblAlgn val="ctr"/>
        <c:lblOffset val="100"/>
        <c:noMultiLvlLbl val="0"/>
      </c:catAx>
      <c:valAx>
        <c:axId val="658755824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56808"/>
        <c:crosses val="autoZero"/>
        <c:crossBetween val="between"/>
        <c:majorUnit val="500000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Tỷ đồng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658763368"/>
        <c:scaling>
          <c:orientation val="minMax"/>
          <c:max val="1.0000000000000002E-2"/>
          <c:min val="0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70912"/>
        <c:crosses val="max"/>
        <c:crossBetween val="between"/>
        <c:majorUnit val="3.0000000000000009E-3"/>
      </c:valAx>
      <c:catAx>
        <c:axId val="658770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8763368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7.4537037037037041E-2"/>
          <c:w val="0.8472222222222221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 cấu các khoản đầu tư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9.0089057127928104E-5"/>
          <c:y val="6.850296760441741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375328083989489E-2"/>
          <c:y val="0.27872265966754156"/>
          <c:w val="0.87706911636045493"/>
          <c:h val="0.6195180810731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DASHBOARD!$B$353</c:f>
              <c:strCache>
                <c:ptCount val="1"/>
                <c:pt idx="0">
                  <c:v>Chứng khoán kinh doanh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DASHBOARD!$E$352:$I$352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DASHBOARD!$E$353:$I$353</c:f>
              <c:numCache>
                <c:formatCode>0.00%</c:formatCode>
                <c:ptCount val="5"/>
                <c:pt idx="0">
                  <c:v>1.045731371472601E-2</c:v>
                </c:pt>
                <c:pt idx="1">
                  <c:v>1.2082657239899458E-2</c:v>
                </c:pt>
                <c:pt idx="2">
                  <c:v>1.5726082855520778E-2</c:v>
                </c:pt>
                <c:pt idx="3">
                  <c:v>7.5004500709160522E-3</c:v>
                </c:pt>
                <c:pt idx="4">
                  <c:v>1.6568390236725246E-2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2-4AAF-9092-DBB9BF8F57F5}"/>
            </c:ext>
          </c:extLst>
        </c:ser>
        <c:ser>
          <c:idx val="1"/>
          <c:order val="1"/>
          <c:tx>
            <c:strRef>
              <c:f>DASHBOARD!$B$354</c:f>
              <c:strCache>
                <c:ptCount val="1"/>
                <c:pt idx="0">
                  <c:v>Chứng khoán sẵn sàng bán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DASHBOARD!$E$352:$I$352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DASHBOARD!$E$354:$I$354</c:f>
              <c:numCache>
                <c:formatCode>0.00%</c:formatCode>
                <c:ptCount val="5"/>
                <c:pt idx="0">
                  <c:v>0.20726844399572167</c:v>
                </c:pt>
                <c:pt idx="1">
                  <c:v>0.26062127949713376</c:v>
                </c:pt>
                <c:pt idx="2">
                  <c:v>0.40435239797864797</c:v>
                </c:pt>
                <c:pt idx="3">
                  <c:v>0.50383370996451904</c:v>
                </c:pt>
                <c:pt idx="4">
                  <c:v>0.45070923026482912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12-4AAF-9092-DBB9BF8F57F5}"/>
            </c:ext>
          </c:extLst>
        </c:ser>
        <c:ser>
          <c:idx val="2"/>
          <c:order val="2"/>
          <c:tx>
            <c:strRef>
              <c:f>DASHBOARD!$B$355</c:f>
              <c:strCache>
                <c:ptCount val="1"/>
                <c:pt idx="0">
                  <c:v>Chứng khoán giữ đến ngày đáo hạn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DASHBOARD!$E$352:$I$352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DASHBOARD!$E$355:$I$355</c:f>
              <c:numCache>
                <c:formatCode>0.00%</c:formatCode>
                <c:ptCount val="5"/>
                <c:pt idx="0">
                  <c:v>0.76796542855373029</c:v>
                </c:pt>
                <c:pt idx="1">
                  <c:v>0.71345148929312741</c:v>
                </c:pt>
                <c:pt idx="2">
                  <c:v>0.56658281671579713</c:v>
                </c:pt>
                <c:pt idx="3">
                  <c:v>0.47769521759715966</c:v>
                </c:pt>
                <c:pt idx="4">
                  <c:v>0.5179497423123619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12-4AAF-9092-DBB9BF8F57F5}"/>
            </c:ext>
          </c:extLst>
        </c:ser>
        <c:ser>
          <c:idx val="3"/>
          <c:order val="3"/>
          <c:tx>
            <c:strRef>
              <c:f>DASHBOARD!$B$356</c:f>
              <c:strCache>
                <c:ptCount val="1"/>
                <c:pt idx="0">
                  <c:v>Góp vốn, đầu tư dài hạn khác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DASHBOARD!$E$352:$I$352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DASHBOARD!$E$356:$I$356</c:f>
              <c:numCache>
                <c:formatCode>0.00%</c:formatCode>
                <c:ptCount val="5"/>
                <c:pt idx="0">
                  <c:v>1.4308813735822063E-2</c:v>
                </c:pt>
                <c:pt idx="1">
                  <c:v>1.3844573969839388E-2</c:v>
                </c:pt>
                <c:pt idx="2">
                  <c:v>1.3338702450034061E-2</c:v>
                </c:pt>
                <c:pt idx="3">
                  <c:v>1.0970622367405227E-2</c:v>
                </c:pt>
                <c:pt idx="4">
                  <c:v>1.4772637186083659E-2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12-4AAF-9092-DBB9BF8F5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3035720"/>
        <c:axId val="523027192"/>
      </c:barChart>
      <c:catAx>
        <c:axId val="52303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23027192"/>
        <c:crosses val="autoZero"/>
        <c:auto val="1"/>
        <c:lblAlgn val="ctr"/>
        <c:lblOffset val="100"/>
        <c:noMultiLvlLbl val="0"/>
      </c:catAx>
      <c:valAx>
        <c:axId val="523027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23035720"/>
        <c:crosses val="autoZero"/>
        <c:crossBetween val="between"/>
        <c:majorUnit val="0.5"/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6.4026684164479484E-3"/>
          <c:y val="0.10094925634295714"/>
          <c:w val="0.91775021872265972"/>
          <c:h val="0.14073636628754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Lợi nhuận cho cổ đông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3123359580052667E-3"/>
          <c:y val="9.25925588391080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4848341466105"/>
          <c:y val="0.19330810975936508"/>
          <c:w val="0.75323816654359388"/>
          <c:h val="0.70493266807645527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DASHBOARD!$B$398</c:f>
              <c:strCache>
                <c:ptCount val="1"/>
                <c:pt idx="0">
                  <c:v>Lợi nhuận sau thuế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DASHBOARD!$E$397:$I$397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DASHBOARD!$E$398:$I$398</c:f>
              <c:numCache>
                <c:formatCode>_(* #,##0_);_(* \(#,##0\);_(* "-"??_);_(@_)</c:formatCode>
                <c:ptCount val="5"/>
                <c:pt idx="0">
                  <c:v>18525988</c:v>
                </c:pt>
                <c:pt idx="1">
                  <c:v>18472518</c:v>
                </c:pt>
                <c:pt idx="2">
                  <c:v>21939045</c:v>
                </c:pt>
                <c:pt idx="3">
                  <c:v>29919054</c:v>
                </c:pt>
                <c:pt idx="4">
                  <c:v>33054448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7D-4A8E-B08D-95111A124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760744"/>
        <c:axId val="658759104"/>
      </c:lineChart>
      <c:lineChart>
        <c:grouping val="standard"/>
        <c:varyColors val="0"/>
        <c:ser>
          <c:idx val="1"/>
          <c:order val="1"/>
          <c:tx>
            <c:strRef>
              <c:f>DASHBOARD!$B$399</c:f>
              <c:strCache>
                <c:ptCount val="1"/>
                <c:pt idx="0">
                  <c:v>ROE ( cột phải)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DASHBOARD!$E$397:$I$397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DASHBOARD!$E$399:$I$399</c:f>
              <c:numCache>
                <c:formatCode>0.00%</c:formatCode>
                <c:ptCount val="5"/>
                <c:pt idx="1">
                  <c:v>0.21114108193316986</c:v>
                </c:pt>
                <c:pt idx="2">
                  <c:v>0.21592233567353861</c:v>
                </c:pt>
                <c:pt idx="3">
                  <c:v>0.24447318892894634</c:v>
                </c:pt>
                <c:pt idx="4">
                  <c:v>0.21988016573646979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7D-4A8E-B08D-95111A124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011904"/>
        <c:axId val="676013216"/>
      </c:lineChart>
      <c:catAx>
        <c:axId val="65876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59104"/>
        <c:crosses val="autoZero"/>
        <c:auto val="1"/>
        <c:lblAlgn val="ctr"/>
        <c:lblOffset val="100"/>
        <c:noMultiLvlLbl val="0"/>
      </c:catAx>
      <c:valAx>
        <c:axId val="658759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60744"/>
        <c:crosses val="autoZero"/>
        <c:crossBetween val="between"/>
        <c:majorUnit val="10000000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Tỷ</a:t>
                  </a:r>
                  <a:r>
                    <a:rPr lang="en-US" baseline="0"/>
                    <a:t>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67601321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76011904"/>
        <c:crosses val="max"/>
        <c:crossBetween val="between"/>
      </c:valAx>
      <c:catAx>
        <c:axId val="676011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6013216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6.6491688538919088E-5"/>
          <c:y val="7.7801079833377154E-2"/>
          <c:w val="0.55765521327268552"/>
          <c:h val="6.7866577991164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Hiệu quả hoạt động và đòn bẩy tài chính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3.6248906386701671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361329833770772E-2"/>
          <c:y val="0.18867848181740965"/>
          <c:w val="0.83611067366579173"/>
          <c:h val="0.7197293346802639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DASHBOARD!$B$402</c:f>
              <c:strCache>
                <c:ptCount val="1"/>
                <c:pt idx="0">
                  <c:v>Đòn bẩy tài chính (A/E)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DASHBOARD!$E$401:$I$401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DASHBOARD!$E$402:$I$402</c:f>
              <c:numCache>
                <c:formatCode>0.00</c:formatCode>
                <c:ptCount val="5"/>
                <c:pt idx="0">
                  <c:v>15.117133762452033</c:v>
                </c:pt>
                <c:pt idx="1">
                  <c:v>14.094589382925523</c:v>
                </c:pt>
                <c:pt idx="2">
                  <c:v>12.964684621818265</c:v>
                </c:pt>
                <c:pt idx="3">
                  <c:v>13.371673572444056</c:v>
                </c:pt>
                <c:pt idx="4">
                  <c:v>11.14831511176239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8B-4866-9FA4-810C28CD0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781408"/>
        <c:axId val="658777144"/>
      </c:lineChart>
      <c:lineChart>
        <c:grouping val="standard"/>
        <c:varyColors val="0"/>
        <c:ser>
          <c:idx val="1"/>
          <c:order val="1"/>
          <c:tx>
            <c:strRef>
              <c:f>DASHBOARD!$B$403</c:f>
              <c:strCache>
                <c:ptCount val="1"/>
                <c:pt idx="0">
                  <c:v>ROA (cột phải)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DASHBOARD!$E$401:$I$401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DASHBOARD!$E$403:$I$403</c:f>
              <c:numCache>
                <c:formatCode>0.00%</c:formatCode>
                <c:ptCount val="5"/>
                <c:pt idx="1">
                  <c:v>1.449422358968782E-2</c:v>
                </c:pt>
                <c:pt idx="2">
                  <c:v>1.600862749932027E-2</c:v>
                </c:pt>
                <c:pt idx="3">
                  <c:v>1.8534407593852307E-2</c:v>
                </c:pt>
                <c:pt idx="4">
                  <c:v>1.8095030021401531E-2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8B-4866-9FA4-810C28CD0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020432"/>
        <c:axId val="676025680"/>
      </c:lineChart>
      <c:catAx>
        <c:axId val="6587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77144"/>
        <c:crosses val="autoZero"/>
        <c:auto val="1"/>
        <c:lblAlgn val="ctr"/>
        <c:lblOffset val="100"/>
        <c:noMultiLvlLbl val="0"/>
      </c:catAx>
      <c:valAx>
        <c:axId val="65877714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81408"/>
        <c:crosses val="autoZero"/>
        <c:crossBetween val="between"/>
        <c:majorUnit val="4"/>
      </c:valAx>
      <c:valAx>
        <c:axId val="676025680"/>
        <c:scaling>
          <c:orientation val="minMax"/>
          <c:min val="8.0000000000000019E-3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76020432"/>
        <c:crosses val="max"/>
        <c:crossBetween val="between"/>
        <c:majorUnit val="4.000000000000001E-3"/>
      </c:valAx>
      <c:catAx>
        <c:axId val="67602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6025680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ysClr val="window" lastClr="FFFFFF">
              <a:lumMod val="85000"/>
            </a:sysClr>
          </a:solidFill>
        </a:ln>
        <a:effectLst/>
      </c:spPr>
    </c:plotArea>
    <c:legend>
      <c:legendPos val="t"/>
      <c:layout>
        <c:manualLayout>
          <c:xMode val="edge"/>
          <c:yMode val="edge"/>
          <c:x val="4.0750218722659702E-3"/>
          <c:y val="7.7801079833377154E-2"/>
          <c:w val="0.58084901636567798"/>
          <c:h val="7.3568359057204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>
        <a:lumMod val="95000"/>
        <a:alpha val="1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layout>
        <c:manualLayout>
          <c:xMode val="edge"/>
          <c:yMode val="edge"/>
          <c:x val="5.562335958005230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583552055992999E-2"/>
          <c:y val="0.114838145231846"/>
          <c:w val="0.87986089238845144"/>
          <c:h val="0.783402595508894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DASHBOARD!$B$418</c:f>
              <c:strCache>
                <c:ptCount val="1"/>
                <c:pt idx="0">
                  <c:v>Tỷ lệ CIR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DASHBOARD!$E$416:$I$416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DASHBOARD!$E$418:$I$418</c:f>
              <c:numCache>
                <c:formatCode>0.00%</c:formatCode>
                <c:ptCount val="5"/>
                <c:pt idx="1">
                  <c:v>0.3268939943408149</c:v>
                </c:pt>
                <c:pt idx="2">
                  <c:v>0.30982161929902541</c:v>
                </c:pt>
                <c:pt idx="3">
                  <c:v>0.31212737204294166</c:v>
                </c:pt>
                <c:pt idx="4">
                  <c:v>0.32359389719326515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5-4787-9382-6BCCB773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586208"/>
        <c:axId val="585598672"/>
      </c:barChart>
      <c:catAx>
        <c:axId val="58558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85598672"/>
        <c:crosses val="autoZero"/>
        <c:auto val="1"/>
        <c:lblAlgn val="ctr"/>
        <c:lblOffset val="100"/>
        <c:noMultiLvlLbl val="0"/>
      </c:catAx>
      <c:valAx>
        <c:axId val="58559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85586208"/>
        <c:crosses val="autoZero"/>
        <c:crossBetween val="between"/>
        <c:majorUnit val="1.0000000000000002E-2"/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 cấu thu nhập của ngân hàng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2.4103802221200777E-3"/>
          <c:y val="1.4583335725612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15939584438466"/>
          <c:y val="0.30387164597631983"/>
          <c:w val="0.80644042791290449"/>
          <c:h val="0.615992924211437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DASHBOARD!$B$406</c:f>
              <c:strCache>
                <c:ptCount val="1"/>
                <c:pt idx="0">
                  <c:v>Thu nhập từ tín dụng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DASHBOARD!$E$405:$I$405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DASHBOARD!$E$406:$I$406</c:f>
              <c:numCache>
                <c:formatCode>_(* #,##0_);_(* \(#,##0\);_(* "-"??_);_(@_)</c:formatCode>
                <c:ptCount val="5"/>
                <c:pt idx="0">
                  <c:v>34577350</c:v>
                </c:pt>
                <c:pt idx="1">
                  <c:v>36285475</c:v>
                </c:pt>
                <c:pt idx="2">
                  <c:v>42399617</c:v>
                </c:pt>
                <c:pt idx="3">
                  <c:v>53246478</c:v>
                </c:pt>
                <c:pt idx="4">
                  <c:v>53620869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6-42D9-8A64-D2E4C5CC8E43}"/>
            </c:ext>
          </c:extLst>
        </c:ser>
        <c:ser>
          <c:idx val="1"/>
          <c:order val="1"/>
          <c:tx>
            <c:strRef>
              <c:f>DASHBOARD!$B$407</c:f>
              <c:strCache>
                <c:ptCount val="1"/>
                <c:pt idx="0">
                  <c:v>Thu nhập từ dịch vụ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DASHBOARD!$E$405:$I$405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DASHBOARD!$E$407:$I$407</c:f>
              <c:numCache>
                <c:formatCode>_(* #,##0_);_(* \(#,##0\);_(* "-"??_);_(@_)</c:formatCode>
                <c:ptCount val="5"/>
                <c:pt idx="0">
                  <c:v>4306844</c:v>
                </c:pt>
                <c:pt idx="1">
                  <c:v>6607317</c:v>
                </c:pt>
                <c:pt idx="2">
                  <c:v>7407073</c:v>
                </c:pt>
                <c:pt idx="3">
                  <c:v>6839100</c:v>
                </c:pt>
                <c:pt idx="4">
                  <c:v>5779723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6-42D9-8A64-D2E4C5CC8E43}"/>
            </c:ext>
          </c:extLst>
        </c:ser>
        <c:ser>
          <c:idx val="2"/>
          <c:order val="2"/>
          <c:tx>
            <c:strRef>
              <c:f>DASHBOARD!$B$408</c:f>
              <c:strCache>
                <c:ptCount val="1"/>
                <c:pt idx="0">
                  <c:v>Thu nhập từ đầu tư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DASHBOARD!$E$405:$I$405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DASHBOARD!$E$408:$I$408</c:f>
              <c:numCache>
                <c:formatCode>_(* #,##0_);_(* \(#,##0\);_(* "-"??_);_(@_)</c:formatCode>
                <c:ptCount val="5"/>
                <c:pt idx="0">
                  <c:v>398118</c:v>
                </c:pt>
                <c:pt idx="1">
                  <c:v>463097</c:v>
                </c:pt>
                <c:pt idx="2">
                  <c:v>148798</c:v>
                </c:pt>
                <c:pt idx="3">
                  <c:v>174837</c:v>
                </c:pt>
                <c:pt idx="4">
                  <c:v>390673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6-42D9-8A64-D2E4C5CC8E43}"/>
            </c:ext>
          </c:extLst>
        </c:ser>
        <c:ser>
          <c:idx val="3"/>
          <c:order val="3"/>
          <c:tx>
            <c:strRef>
              <c:f>DASHBOARD!$B$409</c:f>
              <c:strCache>
                <c:ptCount val="1"/>
                <c:pt idx="0">
                  <c:v>Thu nhập từ hoạt động kinh doanh ngoại hối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DASHBOARD!$E$405:$I$405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DASHBOARD!$E$409:$I$409</c:f>
              <c:numCache>
                <c:formatCode>_(* #,##0_);_(* \(#,##0\);_(* "-"??_);_(@_)</c:formatCode>
                <c:ptCount val="5"/>
                <c:pt idx="0">
                  <c:v>3378274</c:v>
                </c:pt>
                <c:pt idx="1">
                  <c:v>3906399</c:v>
                </c:pt>
                <c:pt idx="2">
                  <c:v>4374820</c:v>
                </c:pt>
                <c:pt idx="3">
                  <c:v>5768445</c:v>
                </c:pt>
                <c:pt idx="4">
                  <c:v>5660028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6-42D9-8A64-D2E4C5CC8E43}"/>
            </c:ext>
          </c:extLst>
        </c:ser>
        <c:ser>
          <c:idx val="4"/>
          <c:order val="4"/>
          <c:tx>
            <c:strRef>
              <c:f>DASHBOARD!$B$410</c:f>
              <c:strCache>
                <c:ptCount val="1"/>
                <c:pt idx="0">
                  <c:v>Thu nhập từ hoạt động khác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DASHBOARD!$E$405:$I$405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DASHBOARD!$E$410:$I$410</c:f>
              <c:numCache>
                <c:formatCode>_(* #,##0_);_(* \(#,##0\);_(* "-"??_);_(@_)</c:formatCode>
                <c:ptCount val="5"/>
                <c:pt idx="0">
                  <c:v>3069795</c:v>
                </c:pt>
                <c:pt idx="1">
                  <c:v>1800253</c:v>
                </c:pt>
                <c:pt idx="2">
                  <c:v>2393261</c:v>
                </c:pt>
                <c:pt idx="3">
                  <c:v>2053961</c:v>
                </c:pt>
                <c:pt idx="4">
                  <c:v>2272169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6-42D9-8A64-D2E4C5CC8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9340784"/>
        <c:axId val="649343736"/>
      </c:barChart>
      <c:catAx>
        <c:axId val="64934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49343736"/>
        <c:crosses val="autoZero"/>
        <c:auto val="1"/>
        <c:lblAlgn val="ctr"/>
        <c:lblOffset val="100"/>
        <c:noMultiLvlLbl val="0"/>
      </c:catAx>
      <c:valAx>
        <c:axId val="649343736"/>
        <c:scaling>
          <c:orientation val="minMax"/>
          <c:max val="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49340784"/>
        <c:crosses val="autoZero"/>
        <c:crossBetween val="between"/>
        <c:majorUnit val="10000000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Tỷ</a:t>
                  </a:r>
                  <a:r>
                    <a:rPr lang="en-US" baseline="0"/>
                    <a:t>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2.4937488356545829E-3"/>
          <c:y val="8.154165507231928E-2"/>
          <c:w val="0.98675906499581856"/>
          <c:h val="0.20045511329361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9804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 cấu sở hữu cổ</a:t>
            </a:r>
            <a:r>
              <a:rPr lang="en-US" sz="1200" b="1" baseline="0">
                <a:solidFill>
                  <a:srgbClr val="00B050"/>
                </a:solidFill>
              </a:rPr>
              <a:t> đông nhà nước</a:t>
            </a:r>
            <a:r>
              <a:rPr lang="en-US" sz="1200" b="1">
                <a:solidFill>
                  <a:srgbClr val="00B050"/>
                </a:solidFill>
              </a:rPr>
              <a:t> 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3618209372255204E-3"/>
          <c:y val="3.992017222882494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DASHBOARD!$B$314:$D$314</c:f>
              <c:strCache>
                <c:ptCount val="3"/>
                <c:pt idx="0">
                  <c:v>Tỷ lệ sở hữu của nhà nước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DASHBOARD!$E$313:$I$313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DASHBOARD!$E$314:$I$314</c:f>
              <c:numCache>
                <c:formatCode>0.00%</c:formatCode>
                <c:ptCount val="5"/>
                <c:pt idx="0">
                  <c:v>0.748</c:v>
                </c:pt>
                <c:pt idx="1">
                  <c:v>0.748</c:v>
                </c:pt>
                <c:pt idx="2">
                  <c:v>0.748</c:v>
                </c:pt>
                <c:pt idx="3">
                  <c:v>0.748</c:v>
                </c:pt>
                <c:pt idx="4">
                  <c:v>0.748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7-4C05-BA1A-5E13EBB75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470064"/>
        <c:axId val="480471048"/>
      </c:barChart>
      <c:catAx>
        <c:axId val="48047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1048"/>
        <c:crosses val="autoZero"/>
        <c:auto val="1"/>
        <c:lblAlgn val="ctr"/>
        <c:lblOffset val="100"/>
        <c:noMultiLvlLbl val="0"/>
      </c:catAx>
      <c:valAx>
        <c:axId val="48047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0064"/>
        <c:crosses val="autoZero"/>
        <c:crossBetween val="between"/>
        <c:majorUnit val="0.2"/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9804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vi-VN" sz="1200" b="1">
                <a:solidFill>
                  <a:srgbClr val="00B050"/>
                </a:solidFill>
              </a:rPr>
              <a:t>C</a:t>
            </a:r>
            <a:r>
              <a:rPr lang="en-US" sz="1200" b="1">
                <a:solidFill>
                  <a:srgbClr val="00B050"/>
                </a:solidFill>
              </a:rPr>
              <a:t>hi phí huy động và chi phí cho vay trung bình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3618209372255204E-3"/>
          <c:y val="3.992017222882494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DASHBOARD!$B$358</c:f>
              <c:strCache>
                <c:ptCount val="1"/>
                <c:pt idx="0">
                  <c:v>Chi phí huy động trung bình - COF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DASHBOARD!$F$348:$I$348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DASHBOARD!$F$358:$I$358</c:f>
              <c:numCache>
                <c:formatCode>0.00%</c:formatCode>
                <c:ptCount val="4"/>
                <c:pt idx="0">
                  <c:v>2.8453433341699294E-2</c:v>
                </c:pt>
                <c:pt idx="1">
                  <c:v>2.2953791466495715E-2</c:v>
                </c:pt>
                <c:pt idx="2">
                  <c:v>2.4548658915024359E-2</c:v>
                </c:pt>
                <c:pt idx="3">
                  <c:v>3.4064727278185901E-2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9-49FB-8B92-CFF85FDD5BD5}"/>
            </c:ext>
          </c:extLst>
        </c:ser>
        <c:ser>
          <c:idx val="1"/>
          <c:order val="1"/>
          <c:tx>
            <c:strRef>
              <c:f>DASHBOARD!$B$359</c:f>
              <c:strCache>
                <c:ptCount val="1"/>
                <c:pt idx="0">
                  <c:v>Chi phí cho vay trung bình - YEA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DASHBOARD!$F$348:$I$348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DASHBOARD!$F$359:$I$359</c:f>
              <c:numCache>
                <c:formatCode>0.00%</c:formatCode>
                <c:ptCount val="4"/>
                <c:pt idx="0">
                  <c:v>5.6302901257582236E-2</c:v>
                </c:pt>
                <c:pt idx="1">
                  <c:v>6.2914455348913378E-2</c:v>
                </c:pt>
                <c:pt idx="2">
                  <c:v>6.792364839904147E-2</c:v>
                </c:pt>
                <c:pt idx="3">
                  <c:v>7.1792715334704757E-2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9-49FB-8B92-CFF85FDD5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0470064"/>
        <c:axId val="480471048"/>
      </c:barChart>
      <c:catAx>
        <c:axId val="48047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1048"/>
        <c:crosses val="autoZero"/>
        <c:auto val="1"/>
        <c:lblAlgn val="ctr"/>
        <c:lblOffset val="100"/>
        <c:noMultiLvlLbl val="0"/>
      </c:catAx>
      <c:valAx>
        <c:axId val="48047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0064"/>
        <c:crosses val="autoZero"/>
        <c:crossBetween val="between"/>
        <c:majorUnit val="2.0000000000000004E-2"/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10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>
        <a:alpha val="9804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vi-VN" sz="1200" b="1">
                <a:solidFill>
                  <a:srgbClr val="00B050"/>
                </a:solidFill>
              </a:rPr>
              <a:t>Chi phí trích lập DPRRTD trên lợi nhuận </a:t>
            </a:r>
            <a:r>
              <a:rPr lang="en-US" sz="1200" b="1">
                <a:solidFill>
                  <a:srgbClr val="00B050"/>
                </a:solidFill>
              </a:rPr>
              <a:t>từ</a:t>
            </a:r>
            <a:r>
              <a:rPr lang="en-US" sz="1200" b="1" baseline="0">
                <a:solidFill>
                  <a:srgbClr val="00B050"/>
                </a:solidFill>
              </a:rPr>
              <a:t> HĐKD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2.9475427182510242E-2"/>
          <c:y val="1.9709171913432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583552055992999E-2"/>
          <c:y val="0.20189814814814816"/>
          <c:w val="0.87986089238845144"/>
          <c:h val="0.69634259259259268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DASHBOARD!$B$413</c:f>
              <c:strCache>
                <c:ptCount val="1"/>
                <c:pt idx="0">
                  <c:v>Chi phí trích lập DPRRTD trên Lợi nhuận từ HDKD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DASHBOARD!$E$405:$I$405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DASHBOARD!$E$413:$I$413</c:f>
              <c:numCache>
                <c:formatCode>0.00%</c:formatCode>
                <c:ptCount val="5"/>
                <c:pt idx="0">
                  <c:v>0.22700742284090633</c:v>
                </c:pt>
                <c:pt idx="1">
                  <c:v>0.30204221492597677</c:v>
                </c:pt>
                <c:pt idx="2">
                  <c:v>0.3004083512840216</c:v>
                </c:pt>
                <c:pt idx="3">
                  <c:v>0.20208736665108695</c:v>
                </c:pt>
                <c:pt idx="4">
                  <c:v>9.9651150375531322E-2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1D-462F-B5D1-08EED6A2D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470064"/>
        <c:axId val="480471048"/>
      </c:lineChart>
      <c:catAx>
        <c:axId val="48047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1048"/>
        <c:crosses val="autoZero"/>
        <c:auto val="1"/>
        <c:lblAlgn val="ctr"/>
        <c:lblOffset val="100"/>
        <c:noMultiLvlLbl val="0"/>
      </c:catAx>
      <c:valAx>
        <c:axId val="48047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0064"/>
        <c:crosses val="autoZero"/>
        <c:crossBetween val="between"/>
        <c:majorUnit val="0.1"/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rgbClr val="F2F2F2">
        <a:alpha val="9804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Dự</a:t>
            </a:r>
            <a:r>
              <a:rPr lang="en-US" sz="1200" b="1" baseline="0">
                <a:solidFill>
                  <a:srgbClr val="00B050"/>
                </a:solidFill>
              </a:rPr>
              <a:t> trữ t</a:t>
            </a:r>
            <a:r>
              <a:rPr lang="en-US" sz="1200" b="1">
                <a:solidFill>
                  <a:srgbClr val="00B050"/>
                </a:solidFill>
              </a:rPr>
              <a:t>hanh khoản của ngân hàng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0777777777777765E-2"/>
          <c:y val="9.25926263461017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09833631523657"/>
          <c:y val="0.20719714464754471"/>
          <c:w val="0.77431794586402747"/>
          <c:h val="0.691043558998089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DASHBOARD!$B$424</c:f>
              <c:strCache>
                <c:ptCount val="1"/>
                <c:pt idx="0">
                  <c:v>Dự trữ thanh khoản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DASHBOARD!$E$423:$I$423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DASHBOARD!$E$424:$I$424</c:f>
              <c:numCache>
                <c:formatCode>_(* #,##0_);_(* \(#,##0\);_(* "-"??_);_(@_)</c:formatCode>
                <c:ptCount val="5"/>
                <c:pt idx="0">
                  <c:v>297932821</c:v>
                </c:pt>
                <c:pt idx="1">
                  <c:v>316204412</c:v>
                </c:pt>
                <c:pt idx="2">
                  <c:v>266283023</c:v>
                </c:pt>
                <c:pt idx="3">
                  <c:v>424543787</c:v>
                </c:pt>
                <c:pt idx="4">
                  <c:v>409077959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8-441D-A04E-4942F624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754512"/>
        <c:axId val="658756480"/>
      </c:barChart>
      <c:lineChart>
        <c:grouping val="standard"/>
        <c:varyColors val="0"/>
        <c:ser>
          <c:idx val="1"/>
          <c:order val="1"/>
          <c:tx>
            <c:strRef>
              <c:f>DASHBOARD!$B$425</c:f>
              <c:strCache>
                <c:ptCount val="1"/>
                <c:pt idx="0">
                  <c:v>Tỷ lệ dự trự thanh khoản (cột phải)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cat>
            <c:numRef>
              <c:f>DASHBOARD!$E$423:$I$423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DASHBOARD!$E$425:$I$425</c:f>
              <c:numCache>
                <c:formatCode>0.00%</c:formatCode>
                <c:ptCount val="5"/>
                <c:pt idx="0">
                  <c:v>0.40551249028641545</c:v>
                </c:pt>
                <c:pt idx="1">
                  <c:v>0.37652873549753035</c:v>
                </c:pt>
                <c:pt idx="2">
                  <c:v>0.27716162942729466</c:v>
                </c:pt>
                <c:pt idx="3">
                  <c:v>0.37075914777856739</c:v>
                </c:pt>
                <c:pt idx="4">
                  <c:v>0.32201759754816023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38-441D-A04E-4942F6244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794528"/>
        <c:axId val="658784032"/>
      </c:lineChart>
      <c:catAx>
        <c:axId val="6587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56480"/>
        <c:crosses val="autoZero"/>
        <c:auto val="1"/>
        <c:lblAlgn val="ctr"/>
        <c:lblOffset val="100"/>
        <c:noMultiLvlLbl val="0"/>
      </c:catAx>
      <c:valAx>
        <c:axId val="6587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54512"/>
        <c:crosses val="autoZero"/>
        <c:crossBetween val="between"/>
        <c:majorUnit val="10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Nghìn</a:t>
                  </a:r>
                  <a:r>
                    <a:rPr lang="en-US" baseline="0"/>
                    <a:t> tỷ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65878403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794528"/>
        <c:crosses val="max"/>
        <c:crossBetween val="between"/>
        <c:majorUnit val="0.2"/>
      </c:valAx>
      <c:catAx>
        <c:axId val="65879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878403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1.045751633986928E-2"/>
          <c:y val="8.8793690125115607E-2"/>
          <c:w val="0.84952230971128606"/>
          <c:h val="7.3840432283622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9804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</a:t>
            </a:r>
            <a:r>
              <a:rPr lang="en-US" sz="1200" b="1" baseline="0">
                <a:solidFill>
                  <a:srgbClr val="00B050"/>
                </a:solidFill>
              </a:rPr>
              <a:t> cấu tiền gởi theo kỳ hạn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2.1596675415572974E-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8643919510062"/>
          <c:y val="0.19432621444082346"/>
          <c:w val="0.86595800524934385"/>
          <c:h val="0.726926179476701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DASHBOARD!$B$388</c:f>
              <c:strCache>
                <c:ptCount val="1"/>
                <c:pt idx="0">
                  <c:v>Dưới 1 tháng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DASHBOARD!$E$387:$I$387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DASHBOARD!$E$388:$I$388</c:f>
              <c:numCache>
                <c:formatCode>0%</c:formatCode>
                <c:ptCount val="5"/>
                <c:pt idx="1">
                  <c:v>0.25969627138909607</c:v>
                </c:pt>
                <c:pt idx="2">
                  <c:v>0.24916467605487669</c:v>
                </c:pt>
                <c:pt idx="3">
                  <c:v>0.24018268419252209</c:v>
                </c:pt>
                <c:pt idx="4">
                  <c:v>0.55341292852494939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9-45B8-BFA0-8B81B0CC252E}"/>
            </c:ext>
          </c:extLst>
        </c:ser>
        <c:ser>
          <c:idx val="1"/>
          <c:order val="1"/>
          <c:tx>
            <c:strRef>
              <c:f>DASHBOARD!$B$389</c:f>
              <c:strCache>
                <c:ptCount val="1"/>
                <c:pt idx="0">
                  <c:v>Từ 1-3 tháng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DASHBOARD!$E$387:$I$387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DASHBOARD!$E$389:$I$389</c:f>
              <c:numCache>
                <c:formatCode>0%</c:formatCode>
                <c:ptCount val="5"/>
                <c:pt idx="1">
                  <c:v>0.19414174893798292</c:v>
                </c:pt>
                <c:pt idx="2">
                  <c:v>0.16448388681125226</c:v>
                </c:pt>
                <c:pt idx="3">
                  <c:v>0.14712263415667196</c:v>
                </c:pt>
                <c:pt idx="4">
                  <c:v>0.14855544641778373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9-45B8-BFA0-8B81B0CC252E}"/>
            </c:ext>
          </c:extLst>
        </c:ser>
        <c:ser>
          <c:idx val="2"/>
          <c:order val="2"/>
          <c:tx>
            <c:strRef>
              <c:f>DASHBOARD!$B$390</c:f>
              <c:strCache>
                <c:ptCount val="1"/>
                <c:pt idx="0">
                  <c:v>Từ 3-12 tháng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DASHBOARD!$E$387:$I$387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DASHBOARD!$E$390:$I$390</c:f>
              <c:numCache>
                <c:formatCode>0%</c:formatCode>
                <c:ptCount val="5"/>
                <c:pt idx="1">
                  <c:v>0.29429898386366238</c:v>
                </c:pt>
                <c:pt idx="2">
                  <c:v>0.28392247561159228</c:v>
                </c:pt>
                <c:pt idx="3">
                  <c:v>0.34188738936288537</c:v>
                </c:pt>
                <c:pt idx="4">
                  <c:v>0.29292896796891049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79-45B8-BFA0-8B81B0CC252E}"/>
            </c:ext>
          </c:extLst>
        </c:ser>
        <c:ser>
          <c:idx val="3"/>
          <c:order val="3"/>
          <c:tx>
            <c:strRef>
              <c:f>DASHBOARD!$B$391</c:f>
              <c:strCache>
                <c:ptCount val="1"/>
                <c:pt idx="0">
                  <c:v>Từ 1-5 năm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DASHBOARD!$E$387:$I$387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DASHBOARD!$E$391:$I$391</c:f>
              <c:numCache>
                <c:formatCode>0%</c:formatCode>
                <c:ptCount val="5"/>
                <c:pt idx="1">
                  <c:v>5.4343729986062669E-2</c:v>
                </c:pt>
                <c:pt idx="2">
                  <c:v>4.0806367653774593E-2</c:v>
                </c:pt>
                <c:pt idx="3">
                  <c:v>8.4551560332392819E-2</c:v>
                </c:pt>
                <c:pt idx="4">
                  <c:v>5.0820465624051908E-3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79-45B8-BFA0-8B81B0CC252E}"/>
            </c:ext>
          </c:extLst>
        </c:ser>
        <c:ser>
          <c:idx val="4"/>
          <c:order val="4"/>
          <c:tx>
            <c:strRef>
              <c:f>DASHBOARD!$B$392</c:f>
              <c:strCache>
                <c:ptCount val="1"/>
                <c:pt idx="0">
                  <c:v>Trên 5 năm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DASHBOARD!$E$387:$I$387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DASHBOARD!$E$392:$I$392</c:f>
              <c:numCache>
                <c:formatCode>0%</c:formatCode>
                <c:ptCount val="5"/>
                <c:pt idx="1">
                  <c:v>0.19751926582319598</c:v>
                </c:pt>
                <c:pt idx="2">
                  <c:v>0.26162259386850423</c:v>
                </c:pt>
                <c:pt idx="3">
                  <c:v>0.18625573195552775</c:v>
                </c:pt>
                <c:pt idx="4">
                  <c:v>2.0610525951224726E-5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79-45B8-BFA0-8B81B0CC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444928"/>
        <c:axId val="676443616"/>
      </c:barChart>
      <c:catAx>
        <c:axId val="6764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76443616"/>
        <c:crosses val="autoZero"/>
        <c:auto val="1"/>
        <c:lblAlgn val="ctr"/>
        <c:lblOffset val="100"/>
        <c:noMultiLvlLbl val="0"/>
      </c:catAx>
      <c:valAx>
        <c:axId val="676443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76444928"/>
        <c:crosses val="autoZero"/>
        <c:crossBetween val="between"/>
        <c:majorUnit val="0.5"/>
      </c:valAx>
      <c:spPr>
        <a:noFill/>
        <a:ln>
          <a:solidFill>
            <a:schemeClr val="tx1">
              <a:lumMod val="15000"/>
              <a:lumOff val="85000"/>
            </a:schemeClr>
          </a:solidFill>
          <a:prstDash val="solid"/>
        </a:ln>
        <a:effectLst/>
      </c:spPr>
    </c:plotArea>
    <c:legend>
      <c:legendPos val="t"/>
      <c:layout>
        <c:manualLayout>
          <c:xMode val="edge"/>
          <c:yMode val="edge"/>
          <c:x val="2.7777777777777779E-3"/>
          <c:y val="9.1689997083697877E-2"/>
          <c:w val="0.9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10000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Hiệu quả sử dụng tài sản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4.9166666666666551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16885389326316E-2"/>
          <c:y val="0.20856255155929149"/>
          <c:w val="0.8668031119420706"/>
          <c:h val="0.68967822627652875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DASHBOARD!$B$428</c:f>
              <c:strCache>
                <c:ptCount val="1"/>
                <c:pt idx="0">
                  <c:v>LDR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DASHBOARD!$E$427:$I$427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DASHBOARD!$E$428:$I$428</c:f>
              <c:numCache>
                <c:formatCode>0.00%</c:formatCode>
                <c:ptCount val="5"/>
                <c:pt idx="0">
                  <c:v>0.79249999999999998</c:v>
                </c:pt>
                <c:pt idx="1">
                  <c:v>0.82180000000000009</c:v>
                </c:pt>
                <c:pt idx="2">
                  <c:v>0.86180000000000012</c:v>
                </c:pt>
                <c:pt idx="3">
                  <c:v>0.91670000000000007</c:v>
                </c:pt>
                <c:pt idx="4">
                  <c:v>0.91659999999999997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7-4EC5-B44F-0E174D1A4F7E}"/>
            </c:ext>
          </c:extLst>
        </c:ser>
        <c:ser>
          <c:idx val="1"/>
          <c:order val="1"/>
          <c:tx>
            <c:strRef>
              <c:f>DASHBOARD!$B$429</c:f>
              <c:strCache>
                <c:ptCount val="1"/>
                <c:pt idx="0">
                  <c:v>% Cho vay ngắn hạn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DASHBOARD!$E$427:$I$427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DASHBOARD!$E$429:$I$429</c:f>
              <c:numCache>
                <c:formatCode>0%</c:formatCode>
                <c:ptCount val="5"/>
                <c:pt idx="0">
                  <c:v>0.52314192735671505</c:v>
                </c:pt>
                <c:pt idx="1">
                  <c:v>0.51724191700745858</c:v>
                </c:pt>
                <c:pt idx="2">
                  <c:v>0.52905117648431221</c:v>
                </c:pt>
                <c:pt idx="3">
                  <c:v>0.56889439890486682</c:v>
                </c:pt>
                <c:pt idx="4">
                  <c:v>0.62234753782021013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7-4EC5-B44F-0E174D1A4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594736"/>
        <c:axId val="585597360"/>
      </c:lineChart>
      <c:catAx>
        <c:axId val="58559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85597360"/>
        <c:crosses val="autoZero"/>
        <c:auto val="1"/>
        <c:lblAlgn val="ctr"/>
        <c:lblOffset val="100"/>
        <c:noMultiLvlLbl val="0"/>
      </c:catAx>
      <c:valAx>
        <c:axId val="585597360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85594736"/>
        <c:crosses val="autoZero"/>
        <c:crossBetween val="between"/>
        <c:majorUnit val="0.2"/>
      </c:valAx>
      <c:spPr>
        <a:solidFill>
          <a:srgbClr val="F2F2F2">
            <a:alpha val="10000"/>
          </a:srgbClr>
        </a:solidFill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6.9155708851923819E-2"/>
          <c:w val="0.79412435110373636"/>
          <c:h val="7.384037844838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10000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Tình</a:t>
            </a:r>
            <a:r>
              <a:rPr lang="en-US" sz="1200" b="1" baseline="0">
                <a:solidFill>
                  <a:srgbClr val="00B050"/>
                </a:solidFill>
              </a:rPr>
              <a:t> hình thanh khoản trong ngắn hạn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8.5411198600174516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5085520670408"/>
          <c:y val="0.2381773269497709"/>
          <c:w val="0.7869404708920652"/>
          <c:h val="0.67339740970293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DASHBOARD!$B$435</c:f>
              <c:strCache>
                <c:ptCount val="1"/>
                <c:pt idx="0">
                  <c:v>Thanh khoản ròng kỳ hạn 1-3 tháng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DASHBOARD!$E$434:$I$434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DASHBOARD!$E$435:$I$435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-105415218</c:v>
                </c:pt>
                <c:pt idx="2">
                  <c:v>-72538566</c:v>
                </c:pt>
                <c:pt idx="3">
                  <c:v>-24419314</c:v>
                </c:pt>
                <c:pt idx="4">
                  <c:v>-420161291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C-4FAB-AE9B-6DAC0F67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315944"/>
        <c:axId val="586312336"/>
      </c:barChart>
      <c:lineChart>
        <c:grouping val="standard"/>
        <c:varyColors val="0"/>
        <c:ser>
          <c:idx val="1"/>
          <c:order val="1"/>
          <c:tx>
            <c:strRef>
              <c:f>DASHBOARD!$B$436</c:f>
              <c:strCache>
                <c:ptCount val="1"/>
                <c:pt idx="0">
                  <c:v>Tỷ lệ thanh khoản ròng kỳ hạn 1-3 tháng/tổng tài sản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DASHBOARD!$E$434:$I$434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DASHBOARD!$E$436:$I$436</c:f>
              <c:numCache>
                <c:formatCode>0%</c:formatCode>
                <c:ptCount val="5"/>
                <c:pt idx="1">
                  <c:v>-0.12225516371186256</c:v>
                </c:pt>
                <c:pt idx="2">
                  <c:v>-8.2614421236601884E-2</c:v>
                </c:pt>
                <c:pt idx="3">
                  <c:v>-1.9128307545797828E-2</c:v>
                </c:pt>
                <c:pt idx="4">
                  <c:v>-0.31555564962847538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3C-4FAB-AE9B-6DAC0F67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483632"/>
        <c:axId val="676474448"/>
      </c:lineChart>
      <c:catAx>
        <c:axId val="58631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86312336"/>
        <c:crosses val="autoZero"/>
        <c:auto val="1"/>
        <c:lblAlgn val="ctr"/>
        <c:lblOffset val="100"/>
        <c:noMultiLvlLbl val="0"/>
      </c:catAx>
      <c:valAx>
        <c:axId val="58631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86315944"/>
        <c:crosses val="autoZero"/>
        <c:crossBetween val="between"/>
        <c:majorUnit val="10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Nghìn</a:t>
                  </a:r>
                  <a:r>
                    <a:rPr lang="en-US" baseline="0"/>
                    <a:t> tỷ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67647444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76483632"/>
        <c:crosses val="max"/>
        <c:crossBetween val="between"/>
      </c:valAx>
      <c:catAx>
        <c:axId val="676483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6474448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6.4476134181518457E-2"/>
          <c:w val="0.67188249953604284"/>
          <c:h val="0.15947819002311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10000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Tình hình thanh khoản theo kỳ hạn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8401137357830382E-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67395501661652"/>
          <c:y val="0.28448171312739301"/>
          <c:w val="0.83331767649584498"/>
          <c:h val="0.62552400422737742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DASHBOARD!$B$431</c:f>
              <c:strCache>
                <c:ptCount val="1"/>
                <c:pt idx="0">
                  <c:v>Thanh khoản trong vòng 1 tháng tới</c:v>
                </c:pt>
              </c:strCache>
            </c:strRef>
          </c:tx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DASHBOARD!$E$427:$I$427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DASHBOARD!$E$431:$I$431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-75640586</c:v>
                </c:pt>
                <c:pt idx="2">
                  <c:v>-101917970</c:v>
                </c:pt>
                <c:pt idx="3">
                  <c:v>-54034647</c:v>
                </c:pt>
                <c:pt idx="4">
                  <c:v>-488438739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08-4FAA-8C65-0D8F759828F0}"/>
            </c:ext>
          </c:extLst>
        </c:ser>
        <c:ser>
          <c:idx val="1"/>
          <c:order val="1"/>
          <c:tx>
            <c:strRef>
              <c:f>DASHBOARD!$B$432</c:f>
              <c:strCache>
                <c:ptCount val="1"/>
                <c:pt idx="0">
                  <c:v>Thanh khoản từ 1-3 tháng tới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DASHBOARD!$E$427:$I$427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DASHBOARD!$E$432:$I$432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-29774632</c:v>
                </c:pt>
                <c:pt idx="2">
                  <c:v>29379404</c:v>
                </c:pt>
                <c:pt idx="3">
                  <c:v>29615333</c:v>
                </c:pt>
                <c:pt idx="4">
                  <c:v>68277448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08-4FAA-8C65-0D8F759828F0}"/>
            </c:ext>
          </c:extLst>
        </c:ser>
        <c:ser>
          <c:idx val="2"/>
          <c:order val="2"/>
          <c:tx>
            <c:strRef>
              <c:f>DASHBOARD!$B$433</c:f>
              <c:strCache>
                <c:ptCount val="1"/>
                <c:pt idx="0">
                  <c:v>Thanh khoản từ 3-12 tháng tới</c:v>
                </c:pt>
              </c:strCache>
            </c:strRef>
          </c:tx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DASHBOARD!$E$427:$I$427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DASHBOARD!$E$433:$I$433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17592914</c:v>
                </c:pt>
                <c:pt idx="2">
                  <c:v>4688336</c:v>
                </c:pt>
                <c:pt idx="3">
                  <c:v>-21281255</c:v>
                </c:pt>
                <c:pt idx="4">
                  <c:v>96570633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F08-4FAA-8C65-0D8F75982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952280"/>
        <c:axId val="668949656"/>
      </c:lineChart>
      <c:catAx>
        <c:axId val="66895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68949656"/>
        <c:crosses val="autoZero"/>
        <c:auto val="1"/>
        <c:lblAlgn val="ctr"/>
        <c:lblOffset val="100"/>
        <c:noMultiLvlLbl val="0"/>
      </c:catAx>
      <c:valAx>
        <c:axId val="66894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68952280"/>
        <c:crosses val="autoZero"/>
        <c:crossBetween val="between"/>
        <c:majorUnit val="20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2">
                          <a:lumMod val="10000"/>
                        </a:schemeClr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Nghìn</a:t>
                  </a:r>
                  <a:r>
                    <a:rPr lang="en-US" baseline="0"/>
                    <a:t> tỷ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2.0847112860892383E-2"/>
          <c:y val="0.10557888597258676"/>
          <c:w val="0.94997222222222222"/>
          <c:h val="0.15296800013860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10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10000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Trạng thái lãi suất của ngân hàng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2360017497812631E-3"/>
          <c:y val="4.49149868933117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8562103250845"/>
          <c:y val="0.23898050479539115"/>
          <c:w val="0.73260421506659346"/>
          <c:h val="0.6655154426451409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DASHBOARD!$B$446</c:f>
              <c:strCache>
                <c:ptCount val="1"/>
                <c:pt idx="0">
                  <c:v>Trạng thái lãi suất kỳ hạn 1-3 tháng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DASHBOARD!$E$445:$I$445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DASHBOARD!$E$446:$I$446</c:f>
              <c:numCache>
                <c:formatCode>_(* #,##0_);_(* \(#,##0\);_(* "-"??_);_(@_)</c:formatCode>
                <c:ptCount val="5"/>
                <c:pt idx="1">
                  <c:v>-174918331</c:v>
                </c:pt>
                <c:pt idx="2">
                  <c:v>-197176258</c:v>
                </c:pt>
                <c:pt idx="3">
                  <c:v>-83012618</c:v>
                </c:pt>
                <c:pt idx="4">
                  <c:v>-115736326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E-4085-A741-B6EFD54F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212760"/>
        <c:axId val="576211448"/>
      </c:barChart>
      <c:lineChart>
        <c:grouping val="standard"/>
        <c:varyColors val="0"/>
        <c:ser>
          <c:idx val="0"/>
          <c:order val="0"/>
          <c:tx>
            <c:strRef>
              <c:f>DASHBOARD!$B$447</c:f>
              <c:strCache>
                <c:ptCount val="1"/>
                <c:pt idx="0">
                  <c:v>Tỷ lệ trạng thái lãi suất ròng/tổng tài sản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DASHBOARD!$E$445:$I$445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DASHBOARD!$E$447:$I$447</c:f>
              <c:numCache>
                <c:formatCode>0.00%</c:formatCode>
                <c:ptCount val="5"/>
                <c:pt idx="1">
                  <c:v>-0.1602283324622033</c:v>
                </c:pt>
                <c:pt idx="2">
                  <c:v>-0.1734367540310042</c:v>
                </c:pt>
                <c:pt idx="3">
                  <c:v>-5.3850037754880016E-2</c:v>
                </c:pt>
                <c:pt idx="4">
                  <c:v>-7.1362395411479471E-2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6E-4085-A741-B6EFD54F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800760"/>
        <c:axId val="658789280"/>
      </c:lineChart>
      <c:catAx>
        <c:axId val="57621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76211448"/>
        <c:crosses val="autoZero"/>
        <c:auto val="1"/>
        <c:lblAlgn val="ctr"/>
        <c:lblOffset val="100"/>
        <c:noMultiLvlLbl val="0"/>
      </c:catAx>
      <c:valAx>
        <c:axId val="57621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76212760"/>
        <c:crosses val="autoZero"/>
        <c:crossBetween val="between"/>
        <c:majorUnit val="50000000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Tỷ</a:t>
                  </a:r>
                  <a:r>
                    <a:rPr lang="en-US" baseline="0"/>
                    <a:t>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658789280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58800760"/>
        <c:crosses val="max"/>
        <c:crossBetween val="between"/>
        <c:majorUnit val="4.0000000000000008E-2"/>
      </c:valAx>
      <c:catAx>
        <c:axId val="658800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8789280"/>
        <c:crosses val="autoZero"/>
        <c:auto val="1"/>
        <c:lblAlgn val="ctr"/>
        <c:lblOffset val="100"/>
        <c:noMultiLvlLbl val="0"/>
      </c:cat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9.555833907459442E-5"/>
          <c:y val="8.8170488122946894E-2"/>
          <c:w val="0.97244444444444444"/>
          <c:h val="0.12808035787979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2F2F2">
        <a:alpha val="10000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Tình hình lãi suất theo kỳ hạn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1.8401137357830382E-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90027483023228"/>
          <c:y val="0.34168999708369785"/>
          <c:w val="0.79765523962306761"/>
          <c:h val="0.54567767570720327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DASHBOARD!$B$441:$D$441</c:f>
              <c:strCache>
                <c:ptCount val="3"/>
                <c:pt idx="0">
                  <c:v>Tài sản/Nợ ròng chịu rủi ro lãi suất trong 1 tháng tới</c:v>
                </c:pt>
              </c:strCache>
            </c:strRef>
          </c:tx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DASHBOARD!$E$440:$I$440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DASHBOARD!$E$441:$I$441</c:f>
              <c:numCache>
                <c:formatCode>_(* #,##0_);_(* \(#,##0\);_(* "-"??_);_(@_)</c:formatCode>
                <c:ptCount val="5"/>
                <c:pt idx="1">
                  <c:v>-291107307</c:v>
                </c:pt>
                <c:pt idx="2">
                  <c:v>-364305152</c:v>
                </c:pt>
                <c:pt idx="3">
                  <c:v>-335475464</c:v>
                </c:pt>
                <c:pt idx="4">
                  <c:v>-370647229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20-4242-A266-B05F9626FEEB}"/>
            </c:ext>
          </c:extLst>
        </c:ser>
        <c:ser>
          <c:idx val="1"/>
          <c:order val="1"/>
          <c:tx>
            <c:strRef>
              <c:f>DASHBOARD!$B$442:$D$442</c:f>
              <c:strCache>
                <c:ptCount val="3"/>
                <c:pt idx="0">
                  <c:v>Tài sản/Nợ ròng chịu rủi ro lãi suất từ 1-3 tháng tới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DASHBOARD!$E$440:$I$440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DASHBOARD!$E$442:$I$442</c:f>
              <c:numCache>
                <c:formatCode>_(* #,##0_);_(* \(#,##0\);_(* "-"??_);_(@_)</c:formatCode>
                <c:ptCount val="5"/>
                <c:pt idx="1">
                  <c:v>116188976</c:v>
                </c:pt>
                <c:pt idx="2">
                  <c:v>167128894</c:v>
                </c:pt>
                <c:pt idx="3">
                  <c:v>252462846</c:v>
                </c:pt>
                <c:pt idx="4">
                  <c:v>254910903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20-4242-A266-B05F9626FEEB}"/>
            </c:ext>
          </c:extLst>
        </c:ser>
        <c:ser>
          <c:idx val="2"/>
          <c:order val="2"/>
          <c:tx>
            <c:strRef>
              <c:f>DASHBOARD!$B$443:$D$443</c:f>
              <c:strCache>
                <c:ptCount val="3"/>
                <c:pt idx="0">
                  <c:v>Tài sản/Nợ ròng chịu rủi ro lãi suất từ 3-6 tháng tới</c:v>
                </c:pt>
              </c:strCache>
            </c:strRef>
          </c:tx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DASHBOARD!$E$440:$I$440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DASHBOARD!$E$443:$I$443</c:f>
              <c:numCache>
                <c:formatCode>_(* #,##0_);_(* \(#,##0\);_(* "-"??_);_(@_)</c:formatCode>
                <c:ptCount val="5"/>
                <c:pt idx="1">
                  <c:v>128360884</c:v>
                </c:pt>
                <c:pt idx="2">
                  <c:v>152419848</c:v>
                </c:pt>
                <c:pt idx="3">
                  <c:v>201657963</c:v>
                </c:pt>
                <c:pt idx="4">
                  <c:v>212804051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20-4242-A266-B05F9626FEEB}"/>
            </c:ext>
          </c:extLst>
        </c:ser>
        <c:ser>
          <c:idx val="3"/>
          <c:order val="3"/>
          <c:tx>
            <c:strRef>
              <c:f>DASHBOARD!$B$444:$D$444</c:f>
              <c:strCache>
                <c:ptCount val="3"/>
                <c:pt idx="0">
                  <c:v>Tài sản/Nợ ròng chịu rủi ro lãi suất từ 6-12 tháng tới</c:v>
                </c:pt>
              </c:strCache>
            </c:strRef>
          </c:tx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DASHBOARD!$E$440:$I$440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DASHBOARD!$E$444:$I$444</c:f>
              <c:numCache>
                <c:formatCode>_(* #,##0_);_(* \(#,##0\);_(* "-"??_);_(@_)</c:formatCode>
                <c:ptCount val="5"/>
                <c:pt idx="1">
                  <c:v>-45761110</c:v>
                </c:pt>
                <c:pt idx="2">
                  <c:v>-62928772</c:v>
                </c:pt>
                <c:pt idx="3">
                  <c:v>-118964872</c:v>
                </c:pt>
                <c:pt idx="4">
                  <c:v>-98463102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20-4242-A266-B05F9626F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952280"/>
        <c:axId val="668949656"/>
      </c:lineChart>
      <c:catAx>
        <c:axId val="66895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68949656"/>
        <c:crosses val="autoZero"/>
        <c:auto val="1"/>
        <c:lblAlgn val="ctr"/>
        <c:lblOffset val="100"/>
        <c:noMultiLvlLbl val="0"/>
      </c:catAx>
      <c:valAx>
        <c:axId val="66894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68952280"/>
        <c:crosses val="autoZero"/>
        <c:crossBetween val="between"/>
        <c:majorUnit val="150000000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bg2">
                          <a:lumMod val="10000"/>
                        </a:schemeClr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Tỷ</a:t>
                  </a:r>
                  <a:r>
                    <a:rPr lang="en-US" baseline="0"/>
                    <a:t>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0.10557888597258676"/>
          <c:w val="0.68886111111111115"/>
          <c:h val="0.2145767716535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10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F2F2F2">
        <a:alpha val="10000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Cơ cấu nguồn vốn huy động của khách hàng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6.2539086929330832E-4"/>
          <c:y val="1.25000000000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28142946357995"/>
          <c:y val="0.32980675853018376"/>
          <c:w val="0.85420122193544457"/>
          <c:h val="0.578609908136482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DASHBOARD!$B$369:$D$369</c:f>
              <c:strCache>
                <c:ptCount val="3"/>
                <c:pt idx="0">
                  <c:v>Các khoản nợ Chính phủ và NHNN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DASHBOARD!$E$368:$I$368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DASHBOARD!$E$369:$I$369</c:f>
              <c:numCache>
                <c:formatCode>#,##0</c:formatCode>
                <c:ptCount val="5"/>
                <c:pt idx="0">
                  <c:v>92365806</c:v>
                </c:pt>
                <c:pt idx="1">
                  <c:v>41176995</c:v>
                </c:pt>
                <c:pt idx="2">
                  <c:v>9468116</c:v>
                </c:pt>
                <c:pt idx="3">
                  <c:v>67314816</c:v>
                </c:pt>
                <c:pt idx="4">
                  <c:v>1670837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A-448E-B9E6-010C54FB2B64}"/>
            </c:ext>
          </c:extLst>
        </c:ser>
        <c:ser>
          <c:idx val="1"/>
          <c:order val="1"/>
          <c:tx>
            <c:strRef>
              <c:f>DASHBOARD!$B$370:$D$370</c:f>
              <c:strCache>
                <c:ptCount val="3"/>
                <c:pt idx="0">
                  <c:v>Tiền gửi và vay các TCTD khác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DASHBOARD!$E$368:$I$368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DASHBOARD!$E$370:$I$370</c:f>
              <c:numCache>
                <c:formatCode>#,##0</c:formatCode>
                <c:ptCount val="5"/>
                <c:pt idx="0">
                  <c:v>73617085</c:v>
                </c:pt>
                <c:pt idx="1">
                  <c:v>103583833</c:v>
                </c:pt>
                <c:pt idx="2">
                  <c:v>109757777</c:v>
                </c:pt>
                <c:pt idx="3">
                  <c:v>232510850</c:v>
                </c:pt>
                <c:pt idx="4">
                  <c:v>213838980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A-448E-B9E6-010C54FB2B64}"/>
            </c:ext>
          </c:extLst>
        </c:ser>
        <c:ser>
          <c:idx val="2"/>
          <c:order val="2"/>
          <c:tx>
            <c:strRef>
              <c:f>DASHBOARD!$B$371:$D$371</c:f>
              <c:strCache>
                <c:ptCount val="3"/>
                <c:pt idx="0">
                  <c:v>Tiền gửi của khách hàng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DASHBOARD!$E$368:$I$368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DASHBOARD!$E$371:$I$371</c:f>
              <c:numCache>
                <c:formatCode>#,##0</c:formatCode>
                <c:ptCount val="5"/>
                <c:pt idx="0">
                  <c:v>928450869</c:v>
                </c:pt>
                <c:pt idx="1">
                  <c:v>1032113567</c:v>
                </c:pt>
                <c:pt idx="2">
                  <c:v>1135323913</c:v>
                </c:pt>
                <c:pt idx="3">
                  <c:v>1243468471</c:v>
                </c:pt>
                <c:pt idx="4">
                  <c:v>1395697611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A-448E-B9E6-010C54FB2B64}"/>
            </c:ext>
          </c:extLst>
        </c:ser>
        <c:ser>
          <c:idx val="3"/>
          <c:order val="3"/>
          <c:tx>
            <c:strRef>
              <c:f>DASHBOARD!$B$372:$D$372</c:f>
              <c:strCache>
                <c:ptCount val="3"/>
                <c:pt idx="0">
                  <c:v>Vốn tài trợ, uỷ thác của CP và TCTD khác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DASHBOARD!$E$368:$I$368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DASHBOARD!$E$372:$I$372</c:f>
              <c:numCache>
                <c:formatCode>_(* #,##0_);_(* \(#,##0\);_(* "-"??_);_(@_)</c:formatCode>
                <c:ptCount val="5"/>
                <c:pt idx="0">
                  <c:v>20431</c:v>
                </c:pt>
                <c:pt idx="1">
                  <c:v>14679</c:v>
                </c:pt>
                <c:pt idx="2">
                  <c:v>7707</c:v>
                </c:pt>
                <c:pt idx="3">
                  <c:v>3298</c:v>
                </c:pt>
                <c:pt idx="4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A-448E-B9E6-010C54FB2B64}"/>
            </c:ext>
          </c:extLst>
        </c:ser>
        <c:ser>
          <c:idx val="4"/>
          <c:order val="4"/>
          <c:tx>
            <c:strRef>
              <c:f>DASHBOARD!$B$373:$D$373</c:f>
              <c:strCache>
                <c:ptCount val="3"/>
                <c:pt idx="0">
                  <c:v>Phát hành giấy tờ có giá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DASHBOARD!$E$368:$I$368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DASHBOARD!$E$373:$I$373</c:f>
              <c:numCache>
                <c:formatCode>_(* #,##0_);_(* \(#,##0\);_(* "-"??_);_(@_)</c:formatCode>
                <c:ptCount val="5"/>
                <c:pt idx="0">
                  <c:v>21383932</c:v>
                </c:pt>
                <c:pt idx="1">
                  <c:v>21240197</c:v>
                </c:pt>
                <c:pt idx="2">
                  <c:v>17387747</c:v>
                </c:pt>
                <c:pt idx="3">
                  <c:v>25337894</c:v>
                </c:pt>
                <c:pt idx="4">
                  <c:v>19912623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A-448E-B9E6-010C54FB2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8591344"/>
        <c:axId val="568591672"/>
      </c:barChart>
      <c:catAx>
        <c:axId val="5685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68591672"/>
        <c:crosses val="autoZero"/>
        <c:auto val="1"/>
        <c:lblAlgn val="ctr"/>
        <c:lblOffset val="100"/>
        <c:noMultiLvlLbl val="0"/>
      </c:catAx>
      <c:valAx>
        <c:axId val="56859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68591344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Helvetica" panose="020B0604020202020204" pitchFamily="34" charset="0"/>
                      <a:ea typeface="+mn-ea"/>
                      <a:cs typeface="Helvetica" panose="020B0604020202020204" pitchFamily="34" charset="0"/>
                    </a:defRPr>
                  </a:pPr>
                  <a:r>
                    <a:rPr lang="en-US"/>
                    <a:t>Triệu</a:t>
                  </a:r>
                  <a:r>
                    <a:rPr lang="en-US" baseline="0"/>
                    <a:t> tỷ đồng</a:t>
                  </a:r>
                  <a:endParaRPr 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3.0550590181855786E-3"/>
          <c:y val="0.10041666666666668"/>
          <c:w val="0.99694494303020775"/>
          <c:h val="0.19091172718813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1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Đặc điểm nguồn vốn huy động theo thị trường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2.9444444444444509E-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8643919510062"/>
          <c:y val="0.18867855059784192"/>
          <c:w val="0.86595800524934385"/>
          <c:h val="0.709562190142898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DASHBOARD!$B$376:$D$376</c:f>
              <c:strCache>
                <c:ptCount val="3"/>
                <c:pt idx="0">
                  <c:v>Thị trường 1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DASHBOARD!$E$375:$I$375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DASHBOARD!$E$376:$I$376</c:f>
              <c:numCache>
                <c:formatCode>0%</c:formatCode>
                <c:ptCount val="5"/>
                <c:pt idx="0">
                  <c:v>0.75933307393219251</c:v>
                </c:pt>
                <c:pt idx="1">
                  <c:v>0.77823114799298343</c:v>
                </c:pt>
                <c:pt idx="2">
                  <c:v>0.8025347514562392</c:v>
                </c:pt>
                <c:pt idx="3">
                  <c:v>0.68555412456937381</c:v>
                </c:pt>
                <c:pt idx="4">
                  <c:v>0.75869080115177556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1-4BD8-89E5-3BD322049DBE}"/>
            </c:ext>
          </c:extLst>
        </c:ser>
        <c:ser>
          <c:idx val="1"/>
          <c:order val="1"/>
          <c:tx>
            <c:strRef>
              <c:f>DASHBOARD!$B$377:$D$377</c:f>
              <c:strCache>
                <c:ptCount val="3"/>
                <c:pt idx="0">
                  <c:v>Thị trường 2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DASHBOARD!$E$375:$I$375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DASHBOARD!$E$377:$I$377</c:f>
              <c:numCache>
                <c:formatCode>0%</c:formatCode>
                <c:ptCount val="5"/>
                <c:pt idx="0">
                  <c:v>6.0207695757972843E-2</c:v>
                </c:pt>
                <c:pt idx="1">
                  <c:v>7.8103968251687056E-2</c:v>
                </c:pt>
                <c:pt idx="2">
                  <c:v>7.7585285817092037E-2</c:v>
                </c:pt>
                <c:pt idx="3">
                  <c:v>0.1281888330441078</c:v>
                </c:pt>
                <c:pt idx="4">
                  <c:v>0.11624127302004712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1-4BD8-89E5-3BD322049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0504960"/>
        <c:axId val="610505616"/>
      </c:barChart>
      <c:catAx>
        <c:axId val="61050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10505616"/>
        <c:crosses val="autoZero"/>
        <c:auto val="1"/>
        <c:lblAlgn val="ctr"/>
        <c:lblOffset val="100"/>
        <c:noMultiLvlLbl val="0"/>
      </c:catAx>
      <c:valAx>
        <c:axId val="61050561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610504960"/>
        <c:crosses val="autoZero"/>
        <c:crossBetween val="between"/>
        <c:majorUnit val="0.5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3.3832020997375404E-3"/>
          <c:y val="9.1689997083697877E-2"/>
          <c:w val="0.39079115110611168"/>
          <c:h val="7.1948888189540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1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en-US" sz="1200" b="1">
                <a:solidFill>
                  <a:srgbClr val="00B050"/>
                </a:solidFill>
              </a:rPr>
              <a:t>Đặc điểm nguồn vốn huy động theo khách hàng</a:t>
            </a:r>
            <a:endParaRPr lang="vi-VN" sz="1200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9.5693998740988722E-4"/>
          <c:y val="4.49149868933117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63368595071568E-2"/>
          <c:y val="0.20550657739312"/>
          <c:w val="0.87259372107662925"/>
          <c:h val="0.695770281415380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DASHBOARD!$B$380</c:f>
              <c:strCache>
                <c:ptCount val="1"/>
                <c:pt idx="0">
                  <c:v>Khách hàng doanh nghiệp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DASHBOARD!$E$379:$I$379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DASHBOARD!$E$380:$I$380</c:f>
              <c:numCache>
                <c:formatCode>0%</c:formatCode>
                <c:ptCount val="5"/>
                <c:pt idx="0">
                  <c:v>0.49718186326561564</c:v>
                </c:pt>
                <c:pt idx="1">
                  <c:v>0.50607324397277298</c:v>
                </c:pt>
                <c:pt idx="2">
                  <c:v>0.50155137972505648</c:v>
                </c:pt>
                <c:pt idx="3">
                  <c:v>0.51253176245592158</c:v>
                </c:pt>
                <c:pt idx="4">
                  <c:v>0.50231288315933076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D-4B85-A197-0D98BE02CE68}"/>
            </c:ext>
          </c:extLst>
        </c:ser>
        <c:ser>
          <c:idx val="1"/>
          <c:order val="1"/>
          <c:tx>
            <c:strRef>
              <c:f>DASHBOARD!$B$381</c:f>
              <c:strCache>
                <c:ptCount val="1"/>
                <c:pt idx="0">
                  <c:v>Cá nhân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DASHBOARD!$E$379:$I$379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DASHBOARD!$E$381:$I$381</c:f>
              <c:numCache>
                <c:formatCode>0%</c:formatCode>
                <c:ptCount val="5"/>
                <c:pt idx="0">
                  <c:v>0.50281813673438436</c:v>
                </c:pt>
                <c:pt idx="1">
                  <c:v>0.49392675602722697</c:v>
                </c:pt>
                <c:pt idx="2">
                  <c:v>0.49844862027494352</c:v>
                </c:pt>
                <c:pt idx="3">
                  <c:v>0.48746823754407842</c:v>
                </c:pt>
                <c:pt idx="4">
                  <c:v>0.4976871168406693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D-4B85-A197-0D98BE02C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8600200"/>
        <c:axId val="568599216"/>
      </c:barChart>
      <c:catAx>
        <c:axId val="56860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68599216"/>
        <c:crosses val="autoZero"/>
        <c:auto val="1"/>
        <c:lblAlgn val="ctr"/>
        <c:lblOffset val="100"/>
        <c:noMultiLvlLbl val="0"/>
      </c:catAx>
      <c:valAx>
        <c:axId val="568599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568600200"/>
        <c:crosses val="autoZero"/>
        <c:crossBetween val="between"/>
        <c:majorUnit val="0.25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1.3679481027932861E-4"/>
          <c:y val="8.8954308372860891E-2"/>
          <c:w val="0.49250321663675983"/>
          <c:h val="6.83481372206303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1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B05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r>
              <a:rPr lang="vi-VN" sz="1200" b="1">
                <a:solidFill>
                  <a:srgbClr val="00B050"/>
                </a:solidFill>
              </a:rPr>
              <a:t>Tỷ lệ CASA của ngân hàng</a:t>
            </a:r>
          </a:p>
        </c:rich>
      </c:tx>
      <c:layout>
        <c:manualLayout>
          <c:xMode val="edge"/>
          <c:yMode val="edge"/>
          <c:x val="1.3618209372255204E-3"/>
          <c:y val="3.992017222882494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B05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33377077865267"/>
          <c:y val="0.11946777486147565"/>
          <c:w val="0.84511067366579173"/>
          <c:h val="0.778772965879265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DASHBOARD!$B$384:$D$384</c:f>
              <c:strCache>
                <c:ptCount val="3"/>
                <c:pt idx="0">
                  <c:v>Tỷ lệ CASA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DASHBOARD!$E$383:$I$383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DASHBOARD!$E$384:$I$384</c:f>
              <c:numCache>
                <c:formatCode>0.00%</c:formatCode>
                <c:ptCount val="5"/>
                <c:pt idx="0">
                  <c:v>0.28512126041211128</c:v>
                </c:pt>
                <c:pt idx="1">
                  <c:v>0.30150073785436443</c:v>
                </c:pt>
                <c:pt idx="2">
                  <c:v>0.32894438734507658</c:v>
                </c:pt>
                <c:pt idx="3">
                  <c:v>0.33129285752513465</c:v>
                </c:pt>
                <c:pt idx="4">
                  <c:v>0.33899327280570951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2-4BED-981B-7B958DE9B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470064"/>
        <c:axId val="480471048"/>
      </c:barChart>
      <c:catAx>
        <c:axId val="48047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1048"/>
        <c:crosses val="autoZero"/>
        <c:auto val="1"/>
        <c:lblAlgn val="ctr"/>
        <c:lblOffset val="100"/>
        <c:noMultiLvlLbl val="0"/>
      </c:catAx>
      <c:valAx>
        <c:axId val="48047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80470064"/>
        <c:crosses val="autoZero"/>
        <c:crossBetween val="between"/>
        <c:majorUnit val="5.000000000000001E-2"/>
      </c:valAx>
      <c:spPr>
        <a:noFill/>
        <a:ln w="6350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rgbClr val="F2F2F2">
        <a:alpha val="9804"/>
      </a:srgb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>
              <a:lumMod val="10000"/>
            </a:schemeClr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179615</xdr:colOff>
      <xdr:row>3</xdr:row>
      <xdr:rowOff>2720</xdr:rowOff>
    </xdr:from>
    <xdr:to>
      <xdr:col>4</xdr:col>
      <xdr:colOff>1336222</xdr:colOff>
      <xdr:row>19</xdr:row>
      <xdr:rowOff>57150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3C886C0-D424-459E-A477-E41A85E0E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24865</xdr:colOff>
      <xdr:row>3</xdr:row>
      <xdr:rowOff>6430</xdr:rowOff>
    </xdr:from>
    <xdr:to>
      <xdr:col>9</xdr:col>
      <xdr:colOff>487507</xdr:colOff>
      <xdr:row>18</xdr:row>
      <xdr:rowOff>136072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3DDE17D-951D-48A9-8462-328BB05D9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40821</xdr:colOff>
      <xdr:row>41</xdr:row>
      <xdr:rowOff>0</xdr:rowOff>
    </xdr:from>
    <xdr:to>
      <xdr:col>4</xdr:col>
      <xdr:colOff>1496786</xdr:colOff>
      <xdr:row>52</xdr:row>
      <xdr:rowOff>204108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7FA4411-2A28-40CF-9E44-4EB4F7833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54</xdr:row>
      <xdr:rowOff>13607</xdr:rowOff>
    </xdr:from>
    <xdr:to>
      <xdr:col>4</xdr:col>
      <xdr:colOff>1551216</xdr:colOff>
      <xdr:row>64</xdr:row>
      <xdr:rowOff>217714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F87A5BE-5E9B-4D2C-847F-5CC197FB8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76200</xdr:colOff>
      <xdr:row>41</xdr:row>
      <xdr:rowOff>13607</xdr:rowOff>
    </xdr:from>
    <xdr:to>
      <xdr:col>9</xdr:col>
      <xdr:colOff>557893</xdr:colOff>
      <xdr:row>52</xdr:row>
      <xdr:rowOff>176892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D796EDD4-61DA-42B1-9D8C-D2E85C38E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27213</xdr:colOff>
      <xdr:row>54</xdr:row>
      <xdr:rowOff>68036</xdr:rowOff>
    </xdr:from>
    <xdr:to>
      <xdr:col>9</xdr:col>
      <xdr:colOff>530679</xdr:colOff>
      <xdr:row>64</xdr:row>
      <xdr:rowOff>217715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3CE8F25-66D1-4586-843B-2CC6E1B2E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66</xdr:row>
      <xdr:rowOff>95250</xdr:rowOff>
    </xdr:from>
    <xdr:to>
      <xdr:col>4</xdr:col>
      <xdr:colOff>1510393</xdr:colOff>
      <xdr:row>77</xdr:row>
      <xdr:rowOff>149679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CF9342F-6958-4FFE-A9D6-D859F38B2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13608</xdr:colOff>
      <xdr:row>66</xdr:row>
      <xdr:rowOff>163286</xdr:rowOff>
    </xdr:from>
    <xdr:to>
      <xdr:col>9</xdr:col>
      <xdr:colOff>544286</xdr:colOff>
      <xdr:row>77</xdr:row>
      <xdr:rowOff>136072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C84E471-BFC1-4819-9E66-730CBCBAD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40822</xdr:colOff>
      <xdr:row>79</xdr:row>
      <xdr:rowOff>54428</xdr:rowOff>
    </xdr:from>
    <xdr:to>
      <xdr:col>4</xdr:col>
      <xdr:colOff>1551215</xdr:colOff>
      <xdr:row>97</xdr:row>
      <xdr:rowOff>149679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3217594A-1820-463A-A201-6357B6776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40823</xdr:colOff>
      <xdr:row>79</xdr:row>
      <xdr:rowOff>31750</xdr:rowOff>
    </xdr:from>
    <xdr:to>
      <xdr:col>9</xdr:col>
      <xdr:colOff>544286</xdr:colOff>
      <xdr:row>97</xdr:row>
      <xdr:rowOff>163285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2200A24-EEA7-43F0-8D3B-01B793B78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185</xdr:row>
      <xdr:rowOff>40821</xdr:rowOff>
    </xdr:from>
    <xdr:to>
      <xdr:col>4</xdr:col>
      <xdr:colOff>1551215</xdr:colOff>
      <xdr:row>203</xdr:row>
      <xdr:rowOff>122463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21F3D5FA-7907-4047-B277-9C2F34669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65314</xdr:colOff>
      <xdr:row>185</xdr:row>
      <xdr:rowOff>58510</xdr:rowOff>
    </xdr:from>
    <xdr:to>
      <xdr:col>9</xdr:col>
      <xdr:colOff>473529</xdr:colOff>
      <xdr:row>203</xdr:row>
      <xdr:rowOff>112940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3609D78-0DF2-4850-9335-44448603A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108857</xdr:colOff>
      <xdr:row>205</xdr:row>
      <xdr:rowOff>81643</xdr:rowOff>
    </xdr:from>
    <xdr:to>
      <xdr:col>4</xdr:col>
      <xdr:colOff>1279072</xdr:colOff>
      <xdr:row>223</xdr:row>
      <xdr:rowOff>163286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BE9530C4-F51A-4E3A-B433-5C3C5E776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27215</xdr:colOff>
      <xdr:row>205</xdr:row>
      <xdr:rowOff>54428</xdr:rowOff>
    </xdr:from>
    <xdr:to>
      <xdr:col>10</xdr:col>
      <xdr:colOff>0</xdr:colOff>
      <xdr:row>224</xdr:row>
      <xdr:rowOff>40821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567955E5-CEC5-4AC6-BE48-7B8341DA4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111036</xdr:colOff>
      <xdr:row>20</xdr:row>
      <xdr:rowOff>35924</xdr:rowOff>
    </xdr:from>
    <xdr:to>
      <xdr:col>5</xdr:col>
      <xdr:colOff>69671</xdr:colOff>
      <xdr:row>36</xdr:row>
      <xdr:rowOff>76744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EC14772-9E92-4EA2-A114-5046C7428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31750</xdr:colOff>
      <xdr:row>99</xdr:row>
      <xdr:rowOff>31751</xdr:rowOff>
    </xdr:from>
    <xdr:to>
      <xdr:col>5</xdr:col>
      <xdr:colOff>0</xdr:colOff>
      <xdr:row>118</xdr:row>
      <xdr:rowOff>47626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0969AD3-5810-4878-ACF0-FFA0BC3BB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31750</xdr:colOff>
      <xdr:row>225</xdr:row>
      <xdr:rowOff>47625</xdr:rowOff>
    </xdr:from>
    <xdr:to>
      <xdr:col>4</xdr:col>
      <xdr:colOff>1303020</xdr:colOff>
      <xdr:row>243</xdr:row>
      <xdr:rowOff>79375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43E6857D-2885-4BAB-BAB6-592385C95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152400</xdr:colOff>
      <xdr:row>246</xdr:row>
      <xdr:rowOff>26843</xdr:rowOff>
    </xdr:from>
    <xdr:to>
      <xdr:col>4</xdr:col>
      <xdr:colOff>1303193</xdr:colOff>
      <xdr:row>264</xdr:row>
      <xdr:rowOff>122959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4C393C44-06FB-4EDA-9869-C6B6E7617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161</xdr:row>
      <xdr:rowOff>35101</xdr:rowOff>
    </xdr:from>
    <xdr:to>
      <xdr:col>4</xdr:col>
      <xdr:colOff>1295400</xdr:colOff>
      <xdr:row>179</xdr:row>
      <xdr:rowOff>19050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F43865FD-28FE-43DF-99E4-27E951E10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69516</xdr:colOff>
      <xdr:row>246</xdr:row>
      <xdr:rowOff>48244</xdr:rowOff>
    </xdr:from>
    <xdr:to>
      <xdr:col>9</xdr:col>
      <xdr:colOff>514349</xdr:colOff>
      <xdr:row>263</xdr:row>
      <xdr:rowOff>126177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C83BB173-BA6B-4AB4-AB80-8067CAE3A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74903</xdr:colOff>
      <xdr:row>265</xdr:row>
      <xdr:rowOff>57520</xdr:rowOff>
    </xdr:from>
    <xdr:to>
      <xdr:col>9</xdr:col>
      <xdr:colOff>557646</xdr:colOff>
      <xdr:row>280</xdr:row>
      <xdr:rowOff>174171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459DEC3-EF47-4072-8CE2-91D9F0F02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161839</xdr:colOff>
      <xdr:row>265</xdr:row>
      <xdr:rowOff>57150</xdr:rowOff>
    </xdr:from>
    <xdr:to>
      <xdr:col>4</xdr:col>
      <xdr:colOff>1279814</xdr:colOff>
      <xdr:row>280</xdr:row>
      <xdr:rowOff>108857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356F107-9272-4CB5-AD52-00B37B462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282</xdr:row>
      <xdr:rowOff>0</xdr:rowOff>
    </xdr:from>
    <xdr:to>
      <xdr:col>4</xdr:col>
      <xdr:colOff>1353455</xdr:colOff>
      <xdr:row>298</xdr:row>
      <xdr:rowOff>68036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5C2BC11-BC5F-4769-A2EF-30821A35A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81643</xdr:colOff>
      <xdr:row>282</xdr:row>
      <xdr:rowOff>27212</xdr:rowOff>
    </xdr:from>
    <xdr:to>
      <xdr:col>9</xdr:col>
      <xdr:colOff>462642</xdr:colOff>
      <xdr:row>298</xdr:row>
      <xdr:rowOff>126545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15F35A18-F7F3-4D19-8C03-28DBD17B0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1</xdr:colOff>
      <xdr:row>127</xdr:row>
      <xdr:rowOff>11205</xdr:rowOff>
    </xdr:from>
    <xdr:to>
      <xdr:col>4</xdr:col>
      <xdr:colOff>1333501</xdr:colOff>
      <xdr:row>142</xdr:row>
      <xdr:rowOff>78440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1694A30-D65D-4E97-AE95-E270F2FDC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33618</xdr:colOff>
      <xdr:row>127</xdr:row>
      <xdr:rowOff>11206</xdr:rowOff>
    </xdr:from>
    <xdr:to>
      <xdr:col>9</xdr:col>
      <xdr:colOff>336176</xdr:colOff>
      <xdr:row>142</xdr:row>
      <xdr:rowOff>134470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4BE46D0-2E09-4D6D-9638-FE46B8EEA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</xdr:col>
      <xdr:colOff>103655</xdr:colOff>
      <xdr:row>144</xdr:row>
      <xdr:rowOff>25853</xdr:rowOff>
    </xdr:from>
    <xdr:to>
      <xdr:col>4</xdr:col>
      <xdr:colOff>1317891</xdr:colOff>
      <xdr:row>159</xdr:row>
      <xdr:rowOff>143195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736EBC3F-FF20-4ED1-B82A-D10BFA7B8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76200</xdr:colOff>
      <xdr:row>144</xdr:row>
      <xdr:rowOff>38100</xdr:rowOff>
    </xdr:from>
    <xdr:to>
      <xdr:col>9</xdr:col>
      <xdr:colOff>532534</xdr:colOff>
      <xdr:row>159</xdr:row>
      <xdr:rowOff>129392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3F894BFE-FB55-46FE-A6FE-02D0CCF59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169545</xdr:colOff>
      <xdr:row>3</xdr:row>
      <xdr:rowOff>0</xdr:rowOff>
    </xdr:to>
    <xdr:pic>
      <xdr:nvPicPr>
        <xdr:cNvPr id="26" name="Picture 25" descr="https://www.stockbiz.vn/Images/spacer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169545</xdr:colOff>
      <xdr:row>4</xdr:row>
      <xdr:rowOff>0</xdr:rowOff>
    </xdr:to>
    <xdr:pic>
      <xdr:nvPicPr>
        <xdr:cNvPr id="27" name="Picture 26" descr="https://www.stockbiz.vn/Images/spacer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30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169545</xdr:colOff>
      <xdr:row>5</xdr:row>
      <xdr:rowOff>0</xdr:rowOff>
    </xdr:to>
    <xdr:pic>
      <xdr:nvPicPr>
        <xdr:cNvPr id="28" name="Picture 27" descr="https://www.stockbiz.vn/Images/spacer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93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2340429</xdr:colOff>
      <xdr:row>7</xdr:row>
      <xdr:rowOff>32657</xdr:rowOff>
    </xdr:from>
    <xdr:to>
      <xdr:col>0</xdr:col>
      <xdr:colOff>2530929</xdr:colOff>
      <xdr:row>8</xdr:row>
      <xdr:rowOff>17689</xdr:rowOff>
    </xdr:to>
    <xdr:pic>
      <xdr:nvPicPr>
        <xdr:cNvPr id="31" name="Picture 30" descr="https://www.stockbiz.vn/Images/spacer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0429" y="1404257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268941</xdr:colOff>
      <xdr:row>12</xdr:row>
      <xdr:rowOff>0</xdr:rowOff>
    </xdr:from>
    <xdr:to>
      <xdr:col>4</xdr:col>
      <xdr:colOff>440391</xdr:colOff>
      <xdr:row>12</xdr:row>
      <xdr:rowOff>171402</xdr:rowOff>
    </xdr:to>
    <xdr:pic>
      <xdr:nvPicPr>
        <xdr:cNvPr id="38" name="Picture 37" descr="https://www.stockbiz.vn/Images/spacer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2382" y="254373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169545</xdr:colOff>
      <xdr:row>16</xdr:row>
      <xdr:rowOff>0</xdr:rowOff>
    </xdr:to>
    <xdr:pic>
      <xdr:nvPicPr>
        <xdr:cNvPr id="40" name="Picture 39" descr="https://www.stockbiz.vn/Images/spacer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275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169545</xdr:colOff>
      <xdr:row>18</xdr:row>
      <xdr:rowOff>1904</xdr:rowOff>
    </xdr:to>
    <xdr:pic>
      <xdr:nvPicPr>
        <xdr:cNvPr id="42" name="Picture 41" descr="https://www.stockbiz.vn/Images/spacer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364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169545</xdr:colOff>
      <xdr:row>19</xdr:row>
      <xdr:rowOff>0</xdr:rowOff>
    </xdr:to>
    <xdr:pic>
      <xdr:nvPicPr>
        <xdr:cNvPr id="44" name="Picture 43" descr="https://www.stockbiz.vn/Images/spacer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882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169545</xdr:colOff>
      <xdr:row>24</xdr:row>
      <xdr:rowOff>0</xdr:rowOff>
    </xdr:to>
    <xdr:pic>
      <xdr:nvPicPr>
        <xdr:cNvPr id="48" name="Picture 47" descr="https://www.stockbiz.vn/Images/spacer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048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169545</xdr:colOff>
      <xdr:row>29</xdr:row>
      <xdr:rowOff>190500</xdr:rowOff>
    </xdr:to>
    <xdr:pic>
      <xdr:nvPicPr>
        <xdr:cNvPr id="49" name="Picture 48" descr="https://www.stockbiz.vn/Images/spacer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4583206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23" name="Picture 22" descr="https://www.stockbiz.vn/Images/spacer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038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24" name="Picture 23" descr="https://www.stockbiz.vn/Images/spacer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001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25" name="Picture 24" descr="https://www.stockbiz.vn/Images/spacer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982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29" name="Picture 28" descr="https://www.stockbiz.vn/Images/spacer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5925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0" name="Picture 29" descr="https://www.stockbiz.vn/Images/spacer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9794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2" name="Picture 31" descr="https://www.stockbiz.vn/Images/spacer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3756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3" name="Picture 32" descr="https://www.stockbiz.vn/Images/spacer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7719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4" name="Picture 33" descr="https://www.stockbiz.vn/Images/spacer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1681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5" name="Picture 34" descr="https://www.stockbiz.vn/Images/spacer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9606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6" name="Picture 35" descr="https://www.stockbiz.vn/Images/spacer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9872382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7" name="Picture 36" descr="https://www.stockbiz.vn/Images/spacer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038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39" name="Picture 38" descr="https://www.stockbiz.vn/Images/spacer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001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41" name="Picture 40" descr="https://www.stockbiz.vn/Images/spacer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982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43" name="Picture 42" descr="https://www.stockbiz.vn/Images/spacer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5925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45" name="Picture 44" descr="https://www.stockbiz.vn/Images/spacer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9794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46" name="Picture 45" descr="https://www.stockbiz.vn/Images/spacer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3727206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47" name="Picture 46" descr="https://www.stockbiz.vn/Images/spacer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7719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50" name="Picture 49" descr="https://www.stockbiz.vn/Images/spacer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1681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51" name="Picture 50" descr="https://www.stockbiz.vn/Images/spacer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9606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169545</xdr:colOff>
      <xdr:row>33</xdr:row>
      <xdr:rowOff>0</xdr:rowOff>
    </xdr:to>
    <xdr:pic>
      <xdr:nvPicPr>
        <xdr:cNvPr id="52" name="Picture 51" descr="https://www.stockbiz.vn/Images/spacer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1587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169545</xdr:colOff>
      <xdr:row>3</xdr:row>
      <xdr:rowOff>0</xdr:rowOff>
    </xdr:to>
    <xdr:pic>
      <xdr:nvPicPr>
        <xdr:cNvPr id="2" name="Picture 1" descr="https://www.stockbiz.vn/Images/spacer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20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169545</xdr:colOff>
      <xdr:row>4</xdr:row>
      <xdr:rowOff>0</xdr:rowOff>
    </xdr:to>
    <xdr:pic>
      <xdr:nvPicPr>
        <xdr:cNvPr id="3" name="Picture 2" descr="https://www.stockbiz.vn/Images/spacer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993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169545</xdr:colOff>
      <xdr:row>6</xdr:row>
      <xdr:rowOff>0</xdr:rowOff>
    </xdr:to>
    <xdr:pic>
      <xdr:nvPicPr>
        <xdr:cNvPr id="5" name="Picture 4" descr="https://www.stockbiz.vn/Images/spacer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329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169545</xdr:colOff>
      <xdr:row>7</xdr:row>
      <xdr:rowOff>0</xdr:rowOff>
    </xdr:to>
    <xdr:pic>
      <xdr:nvPicPr>
        <xdr:cNvPr id="6" name="Picture 5" descr="https://www.stockbiz.vn/Images/spacer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997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169545</xdr:colOff>
      <xdr:row>8</xdr:row>
      <xdr:rowOff>0</xdr:rowOff>
    </xdr:to>
    <xdr:pic>
      <xdr:nvPicPr>
        <xdr:cNvPr id="7" name="Picture 6" descr="https://www.stockbiz.vn/Images/spacer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913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169545</xdr:colOff>
      <xdr:row>9</xdr:row>
      <xdr:rowOff>0</xdr:rowOff>
    </xdr:to>
    <xdr:pic>
      <xdr:nvPicPr>
        <xdr:cNvPr id="8" name="Picture 7" descr="https://www.stockbiz.vn/Images/spacer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1836964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169545</xdr:colOff>
      <xdr:row>10</xdr:row>
      <xdr:rowOff>0</xdr:rowOff>
    </xdr:to>
    <xdr:pic>
      <xdr:nvPicPr>
        <xdr:cNvPr id="9" name="Picture 8" descr="https://www.stockbiz.vn/Images/spacer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012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169545</xdr:colOff>
      <xdr:row>12</xdr:row>
      <xdr:rowOff>0</xdr:rowOff>
    </xdr:to>
    <xdr:pic>
      <xdr:nvPicPr>
        <xdr:cNvPr id="11" name="Picture 10" descr="https://www.stockbiz.vn/Images/spacer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100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169545</xdr:colOff>
      <xdr:row>13</xdr:row>
      <xdr:rowOff>0</xdr:rowOff>
    </xdr:to>
    <xdr:pic>
      <xdr:nvPicPr>
        <xdr:cNvPr id="12" name="Picture 11" descr="https://www.stockbiz.vn/Images/spacer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768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169545</xdr:colOff>
      <xdr:row>14</xdr:row>
      <xdr:rowOff>0</xdr:rowOff>
    </xdr:to>
    <xdr:pic>
      <xdr:nvPicPr>
        <xdr:cNvPr id="13" name="Picture 12" descr="https://www.stockbiz.vn/Images/spacer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684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169545</xdr:colOff>
      <xdr:row>16</xdr:row>
      <xdr:rowOff>0</xdr:rowOff>
    </xdr:to>
    <xdr:pic>
      <xdr:nvPicPr>
        <xdr:cNvPr id="14" name="Picture 13" descr="https://www.stockbiz.vn/Images/spacer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857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169545</xdr:colOff>
      <xdr:row>17</xdr:row>
      <xdr:rowOff>0</xdr:rowOff>
    </xdr:to>
    <xdr:pic>
      <xdr:nvPicPr>
        <xdr:cNvPr id="15" name="Picture 14" descr="https://www.stockbiz.vn/Images/spacer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169545</xdr:colOff>
      <xdr:row>18</xdr:row>
      <xdr:rowOff>0</xdr:rowOff>
    </xdr:to>
    <xdr:pic>
      <xdr:nvPicPr>
        <xdr:cNvPr id="16" name="Picture 15" descr="https://www.stockbiz.vn/Images/spacer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451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169545</xdr:colOff>
      <xdr:row>19</xdr:row>
      <xdr:rowOff>0</xdr:rowOff>
    </xdr:to>
    <xdr:pic>
      <xdr:nvPicPr>
        <xdr:cNvPr id="17" name="Picture 16" descr="https://www.stockbiz.vn/Images/spacer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119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169545</xdr:colOff>
      <xdr:row>21</xdr:row>
      <xdr:rowOff>0</xdr:rowOff>
    </xdr:to>
    <xdr:pic>
      <xdr:nvPicPr>
        <xdr:cNvPr id="19" name="Picture 18" descr="https://www.stockbiz.vn/Images/spacer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197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169545</xdr:colOff>
      <xdr:row>22</xdr:row>
      <xdr:rowOff>0</xdr:rowOff>
    </xdr:to>
    <xdr:pic>
      <xdr:nvPicPr>
        <xdr:cNvPr id="20" name="Picture 19" descr="https://www.stockbiz.vn/Images/spacer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6865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169545</xdr:colOff>
      <xdr:row>22</xdr:row>
      <xdr:rowOff>187698</xdr:rowOff>
    </xdr:to>
    <xdr:pic>
      <xdr:nvPicPr>
        <xdr:cNvPr id="21" name="Picture 20" descr="https://www.stockbiz.vn/Images/spacer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780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169545</xdr:colOff>
      <xdr:row>24</xdr:row>
      <xdr:rowOff>0</xdr:rowOff>
    </xdr:to>
    <xdr:pic>
      <xdr:nvPicPr>
        <xdr:cNvPr id="22" name="Picture 21" descr="https://www.stockbiz.vn/Images/spacer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201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169545</xdr:colOff>
      <xdr:row>25</xdr:row>
      <xdr:rowOff>0</xdr:rowOff>
    </xdr:to>
    <xdr:pic>
      <xdr:nvPicPr>
        <xdr:cNvPr id="23" name="Picture 22" descr="https://www.stockbiz.vn/Images/spacer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2374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24" name="Picture 23" descr="https://www.stockbiz.vn/Images/spacer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3" y="5625353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25" name="Picture 24" descr="https://www.stockbiz.vn/Images/spacer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24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26" name="Picture 25" descr="https://www.stockbiz.vn/Images/spacer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87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27" name="Picture 26" descr="https://www.stockbiz.vn/Images/spacer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68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28" name="Picture 27" descr="https://www.stockbiz.vn/Images/spacer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49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29" name="Picture 28" descr="https://www.stockbiz.vn/Images/spacer.gif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30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0" name="Picture 29" descr="https://www.stockbiz.vn/Images/spacer.gif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12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1" name="Picture 30" descr="https://www.stockbiz.vn/Images/spacer.gif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774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2" name="Picture 31" descr="https://www.stockbiz.vn/Images/spacer.gif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55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3" name="Picture 32" descr="https://www.stockbiz.vn/Images/spacer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736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4" name="Picture 33" descr="https://www.stockbiz.vn/Images/spacer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18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5" name="Picture 34" descr="https://www.stockbiz.vn/Images/spacer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699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6" name="Picture 35" descr="https://www.stockbiz.vn/Images/spacer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680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7" name="Picture 36" descr="https://www.stockbiz.vn/Images/spacer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661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8" name="Picture 37" descr="https://www.stockbiz.vn/Images/spacer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624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39" name="Picture 38" descr="https://www.stockbiz.vn/Images/spacer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605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0" name="Picture 39" descr="https://www.stockbiz.vn/Images/spacer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586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1" name="Picture 40" descr="https://www.stockbiz.vn/Images/spacer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473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2" name="Picture 41" descr="https://www.stockbiz.vn/Images/spacer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454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3" name="Picture 42" descr="https://www.stockbiz.vn/Images/spacer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417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4" name="Picture 43" descr="https://www.stockbiz.vn/Images/spacer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3398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5" name="Picture 44" descr="https://www.stockbiz.vn/Images/spacer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379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6" name="Picture 45" descr="https://www.stockbiz.vn/Images/spacer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360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7" name="Picture 46" descr="https://www.stockbiz.vn/Images/spacer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9342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8" name="Picture 47" descr="https://www.stockbiz.vn/Images/spacer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304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49" name="Picture 48" descr="https://www.stockbiz.vn/Images/spacer.gif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5285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0" name="Picture 49" descr="https://www.stockbiz.vn/Images/spacer.gif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266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1" name="Picture 50" descr="https://www.stockbiz.vn/Images/spacer.gif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248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2" name="Picture 51" descr="https://www.stockbiz.vn/Images/spacer.gif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229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3" name="Picture 52" descr="https://www.stockbiz.vn/Images/spacer.gif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210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4" name="Picture 53" descr="https://www.stockbiz.vn/Images/spacer.gif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191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5" name="Picture 54" descr="https://www.stockbiz.vn/Images/spacer.gif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154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6" name="Picture 55" descr="https://www.stockbiz.vn/Images/spacer.gif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154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169545</xdr:colOff>
      <xdr:row>27</xdr:row>
      <xdr:rowOff>0</xdr:rowOff>
    </xdr:to>
    <xdr:pic>
      <xdr:nvPicPr>
        <xdr:cNvPr id="57" name="Picture 56" descr="https://www.stockbiz.vn/Images/spacer.gif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154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182880</xdr:colOff>
      <xdr:row>3</xdr:row>
      <xdr:rowOff>0</xdr:rowOff>
    </xdr:to>
    <xdr:pic>
      <xdr:nvPicPr>
        <xdr:cNvPr id="2" name="Picture 1" descr="https://www.stockbiz.vn/Images/spacer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182880</xdr:colOff>
      <xdr:row>4</xdr:row>
      <xdr:rowOff>0</xdr:rowOff>
    </xdr:to>
    <xdr:pic>
      <xdr:nvPicPr>
        <xdr:cNvPr id="3" name="Picture 2" descr="https://www.stockbiz.vn/Images/spacer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927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182880</xdr:colOff>
      <xdr:row>5</xdr:row>
      <xdr:rowOff>0</xdr:rowOff>
    </xdr:to>
    <xdr:pic>
      <xdr:nvPicPr>
        <xdr:cNvPr id="4" name="Picture 3" descr="https://www.stockbiz.vn/Images/spacer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48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182880</xdr:colOff>
      <xdr:row>5</xdr:row>
      <xdr:rowOff>190500</xdr:rowOff>
    </xdr:to>
    <xdr:pic>
      <xdr:nvPicPr>
        <xdr:cNvPr id="5" name="Picture 4" descr="https://www.stockbiz.vn/Images/spacer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21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182880</xdr:colOff>
      <xdr:row>6</xdr:row>
      <xdr:rowOff>190500</xdr:rowOff>
    </xdr:to>
    <xdr:pic>
      <xdr:nvPicPr>
        <xdr:cNvPr id="6" name="Picture 5" descr="https://www.stockbiz.vn/Images/spacer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963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182880</xdr:colOff>
      <xdr:row>8</xdr:row>
      <xdr:rowOff>0</xdr:rowOff>
    </xdr:to>
    <xdr:pic>
      <xdr:nvPicPr>
        <xdr:cNvPr id="7" name="Picture 6" descr="https://www.stockbiz.vn/Images/spacer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125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182880</xdr:colOff>
      <xdr:row>8</xdr:row>
      <xdr:rowOff>190500</xdr:rowOff>
    </xdr:to>
    <xdr:pic>
      <xdr:nvPicPr>
        <xdr:cNvPr id="8" name="Picture 7" descr="https://www.stockbiz.vn/Images/spacer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1556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182880</xdr:colOff>
      <xdr:row>9</xdr:row>
      <xdr:rowOff>190500</xdr:rowOff>
    </xdr:to>
    <xdr:pic>
      <xdr:nvPicPr>
        <xdr:cNvPr id="9" name="Picture 8" descr="https://www.stockbiz.vn/Images/spacer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235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182880</xdr:colOff>
      <xdr:row>11</xdr:row>
      <xdr:rowOff>0</xdr:rowOff>
    </xdr:to>
    <xdr:pic>
      <xdr:nvPicPr>
        <xdr:cNvPr id="10" name="Picture 9" descr="https://www.stockbiz.vn/Images/spacer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903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182880</xdr:colOff>
      <xdr:row>30</xdr:row>
      <xdr:rowOff>0</xdr:rowOff>
    </xdr:to>
    <xdr:pic>
      <xdr:nvPicPr>
        <xdr:cNvPr id="13" name="Picture 12" descr="https://www.stockbiz.vn/Images/spacer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9280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182880</xdr:colOff>
      <xdr:row>32</xdr:row>
      <xdr:rowOff>0</xdr:rowOff>
    </xdr:to>
    <xdr:pic>
      <xdr:nvPicPr>
        <xdr:cNvPr id="15" name="Picture 14" descr="https://www.stockbiz.vn/Images/spacer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5798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182880</xdr:colOff>
      <xdr:row>32</xdr:row>
      <xdr:rowOff>0</xdr:rowOff>
    </xdr:to>
    <xdr:pic>
      <xdr:nvPicPr>
        <xdr:cNvPr id="16" name="Picture 15" descr="https://www.stockbiz.vn/Images/spacer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4637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182880</xdr:colOff>
      <xdr:row>32</xdr:row>
      <xdr:rowOff>190500</xdr:rowOff>
    </xdr:to>
    <xdr:pic>
      <xdr:nvPicPr>
        <xdr:cNvPr id="17" name="Picture 16" descr="https://www.stockbiz.vn/Images/spacer.gi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1800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182880</xdr:colOff>
      <xdr:row>33</xdr:row>
      <xdr:rowOff>190500</xdr:rowOff>
    </xdr:to>
    <xdr:pic>
      <xdr:nvPicPr>
        <xdr:cNvPr id="18" name="Picture 17" descr="https://www.stockbiz.vn/Images/spacer.gi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221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182880</xdr:colOff>
      <xdr:row>35</xdr:row>
      <xdr:rowOff>0</xdr:rowOff>
    </xdr:to>
    <xdr:pic>
      <xdr:nvPicPr>
        <xdr:cNvPr id="19" name="Picture 18" descr="https://www.stockbiz.vn/Images/spacer.gi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641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182880</xdr:colOff>
      <xdr:row>36</xdr:row>
      <xdr:rowOff>0</xdr:rowOff>
    </xdr:to>
    <xdr:pic>
      <xdr:nvPicPr>
        <xdr:cNvPr id="20" name="Picture 19" descr="https://www.stockbiz.vn/Images/spacer.gi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480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182880</xdr:colOff>
      <xdr:row>36</xdr:row>
      <xdr:rowOff>190500</xdr:rowOff>
    </xdr:to>
    <xdr:pic>
      <xdr:nvPicPr>
        <xdr:cNvPr id="21" name="Picture 20" descr="https://www.stockbiz.vn/Images/spacer.gi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7825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182880</xdr:colOff>
      <xdr:row>37</xdr:row>
      <xdr:rowOff>190500</xdr:rowOff>
    </xdr:to>
    <xdr:pic>
      <xdr:nvPicPr>
        <xdr:cNvPr id="22" name="Picture 21" descr="https://www.stockbiz.vn/Images/spacer.gi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0169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182880</xdr:colOff>
      <xdr:row>38</xdr:row>
      <xdr:rowOff>190500</xdr:rowOff>
    </xdr:to>
    <xdr:pic>
      <xdr:nvPicPr>
        <xdr:cNvPr id="23" name="Picture 22" descr="https://www.stockbiz.vn/Images/spacer.gi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2590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182880</xdr:colOff>
      <xdr:row>39</xdr:row>
      <xdr:rowOff>190500</xdr:rowOff>
    </xdr:to>
    <xdr:pic>
      <xdr:nvPicPr>
        <xdr:cNvPr id="24" name="Picture 23" descr="https://www.stockbiz.vn/Images/spacer.gi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5010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182880</xdr:colOff>
      <xdr:row>40</xdr:row>
      <xdr:rowOff>190500</xdr:rowOff>
    </xdr:to>
    <xdr:pic>
      <xdr:nvPicPr>
        <xdr:cNvPr id="25" name="Picture 24" descr="https://www.stockbiz.vn/Images/spacer.gi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947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182880</xdr:colOff>
      <xdr:row>42</xdr:row>
      <xdr:rowOff>190500</xdr:rowOff>
    </xdr:to>
    <xdr:pic>
      <xdr:nvPicPr>
        <xdr:cNvPr id="27" name="Picture 26" descr="https://www.stockbiz.vn/Images/spacer.gi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2712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182880</xdr:colOff>
      <xdr:row>43</xdr:row>
      <xdr:rowOff>190500</xdr:rowOff>
    </xdr:to>
    <xdr:pic>
      <xdr:nvPicPr>
        <xdr:cNvPr id="28" name="Picture 27" descr="https://www.stockbiz.vn/Images/spacer.gi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8852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182880</xdr:colOff>
      <xdr:row>44</xdr:row>
      <xdr:rowOff>190500</xdr:rowOff>
    </xdr:to>
    <xdr:pic>
      <xdr:nvPicPr>
        <xdr:cNvPr id="29" name="Picture 28" descr="https://www.stockbiz.vn/Images/spacer.gi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6755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182880</xdr:colOff>
      <xdr:row>45</xdr:row>
      <xdr:rowOff>190500</xdr:rowOff>
    </xdr:to>
    <xdr:pic>
      <xdr:nvPicPr>
        <xdr:cNvPr id="30" name="Picture 29" descr="https://www.stockbiz.vn/Images/spacer.gi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6626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182880</xdr:colOff>
      <xdr:row>47</xdr:row>
      <xdr:rowOff>0</xdr:rowOff>
    </xdr:to>
    <xdr:pic>
      <xdr:nvPicPr>
        <xdr:cNvPr id="31" name="Picture 30" descr="https://www.stockbiz.vn/Images/spacer.gi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046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182880</xdr:colOff>
      <xdr:row>48</xdr:row>
      <xdr:rowOff>0</xdr:rowOff>
    </xdr:to>
    <xdr:pic>
      <xdr:nvPicPr>
        <xdr:cNvPr id="32" name="Picture 31" descr="https://www.stockbiz.vn/Images/spacer.gi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9638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182880</xdr:colOff>
      <xdr:row>48</xdr:row>
      <xdr:rowOff>190500</xdr:rowOff>
    </xdr:to>
    <xdr:pic>
      <xdr:nvPicPr>
        <xdr:cNvPr id="33" name="Picture 32" descr="https://www.stockbiz.vn/Images/spacer.gi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1982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182880</xdr:colOff>
      <xdr:row>50</xdr:row>
      <xdr:rowOff>0</xdr:rowOff>
    </xdr:to>
    <xdr:pic>
      <xdr:nvPicPr>
        <xdr:cNvPr id="34" name="Picture 33" descr="https://www.stockbiz.vn/Images/spacer.gi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4403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182880</xdr:colOff>
      <xdr:row>51</xdr:row>
      <xdr:rowOff>0</xdr:rowOff>
    </xdr:to>
    <xdr:pic>
      <xdr:nvPicPr>
        <xdr:cNvPr id="35" name="Picture 34" descr="https://www.stockbiz.vn/Images/spacer.gi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071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182880</xdr:colOff>
      <xdr:row>51</xdr:row>
      <xdr:rowOff>190500</xdr:rowOff>
    </xdr:to>
    <xdr:pic>
      <xdr:nvPicPr>
        <xdr:cNvPr id="36" name="Picture 35" descr="https://www.stockbiz.vn/Images/spacer.gi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5739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182880</xdr:colOff>
      <xdr:row>53</xdr:row>
      <xdr:rowOff>0</xdr:rowOff>
    </xdr:to>
    <xdr:pic>
      <xdr:nvPicPr>
        <xdr:cNvPr id="37" name="Picture 36" descr="https://www.stockbiz.vn/Images/spacer.gi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9836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182880</xdr:colOff>
      <xdr:row>56</xdr:row>
      <xdr:rowOff>0</xdr:rowOff>
    </xdr:to>
    <xdr:pic>
      <xdr:nvPicPr>
        <xdr:cNvPr id="39" name="Picture 38" descr="https://www.stockbiz.vn/Images/spacer.gi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454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182880</xdr:colOff>
      <xdr:row>57</xdr:row>
      <xdr:rowOff>0</xdr:rowOff>
    </xdr:to>
    <xdr:pic>
      <xdr:nvPicPr>
        <xdr:cNvPr id="40" name="Picture 39" descr="https://www.stockbiz.vn/Images/spacer.gi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5003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182880</xdr:colOff>
      <xdr:row>58</xdr:row>
      <xdr:rowOff>0</xdr:rowOff>
    </xdr:to>
    <xdr:pic>
      <xdr:nvPicPr>
        <xdr:cNvPr id="42" name="Picture 41" descr="https://www.stockbiz.vn/Images/spacer.gi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182880</xdr:colOff>
      <xdr:row>59</xdr:row>
      <xdr:rowOff>0</xdr:rowOff>
    </xdr:to>
    <xdr:pic>
      <xdr:nvPicPr>
        <xdr:cNvPr id="43" name="Picture 42" descr="https://www.stockbiz.vn/Images/spacer.gi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552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182880</xdr:colOff>
      <xdr:row>60</xdr:row>
      <xdr:rowOff>0</xdr:rowOff>
    </xdr:to>
    <xdr:pic>
      <xdr:nvPicPr>
        <xdr:cNvPr id="44" name="Picture 43" descr="https://www.stockbiz.vn/Images/spacer.gi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514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182880</xdr:colOff>
      <xdr:row>61</xdr:row>
      <xdr:rowOff>0</xdr:rowOff>
    </xdr:to>
    <xdr:pic>
      <xdr:nvPicPr>
        <xdr:cNvPr id="46" name="Picture 45" descr="https://www.stockbiz.vn/Images/spacer.gi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439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182880</xdr:colOff>
      <xdr:row>63</xdr:row>
      <xdr:rowOff>0</xdr:rowOff>
    </xdr:to>
    <xdr:pic>
      <xdr:nvPicPr>
        <xdr:cNvPr id="47" name="Picture 46" descr="https://www.stockbiz.vn/Images/spacer.gi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3644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182880</xdr:colOff>
      <xdr:row>64</xdr:row>
      <xdr:rowOff>0</xdr:rowOff>
    </xdr:to>
    <xdr:pic>
      <xdr:nvPicPr>
        <xdr:cNvPr id="48" name="Picture 47" descr="https://www.stockbiz.vn/Images/spacer.gi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3456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182880</xdr:colOff>
      <xdr:row>65</xdr:row>
      <xdr:rowOff>0</xdr:rowOff>
    </xdr:to>
    <xdr:pic>
      <xdr:nvPicPr>
        <xdr:cNvPr id="49" name="Picture 48" descr="https://www.stockbiz.vn/Images/spacer.gi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63268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182880</xdr:colOff>
      <xdr:row>66</xdr:row>
      <xdr:rowOff>0</xdr:rowOff>
    </xdr:to>
    <xdr:pic>
      <xdr:nvPicPr>
        <xdr:cNvPr id="50" name="Picture 49" descr="https://www.stockbiz.vn/Images/spacer.gi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308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173355</xdr:colOff>
      <xdr:row>59</xdr:row>
      <xdr:rowOff>47626</xdr:rowOff>
    </xdr:to>
    <xdr:pic>
      <xdr:nvPicPr>
        <xdr:cNvPr id="2" name="Picture 1" descr="https://www.stockbiz.vn/Images/spacer.gif">
          <a:extLst>
            <a:ext uri="{FF2B5EF4-FFF2-40B4-BE49-F238E27FC236}">
              <a16:creationId xmlns:a16="http://schemas.microsoft.com/office/drawing/2014/main" id="{C1430769-4F07-4969-991D-29D734298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02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173355</xdr:colOff>
      <xdr:row>58</xdr:row>
      <xdr:rowOff>62866</xdr:rowOff>
    </xdr:to>
    <xdr:pic>
      <xdr:nvPicPr>
        <xdr:cNvPr id="3" name="Picture 2" descr="https://www.stockbiz.vn/Images/spacer.gif">
          <a:extLst>
            <a:ext uri="{FF2B5EF4-FFF2-40B4-BE49-F238E27FC236}">
              <a16:creationId xmlns:a16="http://schemas.microsoft.com/office/drawing/2014/main" id="{49FF6F53-121C-4E18-9883-79F697547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173355</xdr:colOff>
      <xdr:row>60</xdr:row>
      <xdr:rowOff>94586</xdr:rowOff>
    </xdr:to>
    <xdr:pic>
      <xdr:nvPicPr>
        <xdr:cNvPr id="4" name="Picture 3" descr="https://www.stockbiz.vn/Images/spacer.gif">
          <a:extLst>
            <a:ext uri="{FF2B5EF4-FFF2-40B4-BE49-F238E27FC236}">
              <a16:creationId xmlns:a16="http://schemas.microsoft.com/office/drawing/2014/main" id="{A65E1760-7DAF-41EB-9656-7EFB7CF95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02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173355</xdr:colOff>
      <xdr:row>62</xdr:row>
      <xdr:rowOff>139065</xdr:rowOff>
    </xdr:to>
    <xdr:pic>
      <xdr:nvPicPr>
        <xdr:cNvPr id="5" name="Picture 4" descr="https://www.stockbiz.vn/Images/spacer.gif">
          <a:extLst>
            <a:ext uri="{FF2B5EF4-FFF2-40B4-BE49-F238E27FC236}">
              <a16:creationId xmlns:a16="http://schemas.microsoft.com/office/drawing/2014/main" id="{1B266104-E019-4887-AA0C-CDF55898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03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173355</xdr:colOff>
      <xdr:row>68</xdr:row>
      <xdr:rowOff>142874</xdr:rowOff>
    </xdr:to>
    <xdr:pic>
      <xdr:nvPicPr>
        <xdr:cNvPr id="6" name="Picture 5" descr="https://www.stockbiz.vn/Images/spacer.gif">
          <a:extLst>
            <a:ext uri="{FF2B5EF4-FFF2-40B4-BE49-F238E27FC236}">
              <a16:creationId xmlns:a16="http://schemas.microsoft.com/office/drawing/2014/main" id="{0390B6F9-CDD8-4241-A1BB-F54260E7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05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173355</xdr:colOff>
      <xdr:row>69</xdr:row>
      <xdr:rowOff>139066</xdr:rowOff>
    </xdr:to>
    <xdr:pic>
      <xdr:nvPicPr>
        <xdr:cNvPr id="7" name="Picture 6" descr="https://www.stockbiz.vn/Images/spacer.gif">
          <a:extLst>
            <a:ext uri="{FF2B5EF4-FFF2-40B4-BE49-F238E27FC236}">
              <a16:creationId xmlns:a16="http://schemas.microsoft.com/office/drawing/2014/main" id="{5FFC52BA-0088-4161-948F-D66D55E5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05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173355</xdr:colOff>
      <xdr:row>71</xdr:row>
      <xdr:rowOff>59054</xdr:rowOff>
    </xdr:to>
    <xdr:pic>
      <xdr:nvPicPr>
        <xdr:cNvPr id="8" name="Picture 7" descr="https://www.stockbiz.vn/Images/spacer.gif">
          <a:extLst>
            <a:ext uri="{FF2B5EF4-FFF2-40B4-BE49-F238E27FC236}">
              <a16:creationId xmlns:a16="http://schemas.microsoft.com/office/drawing/2014/main" id="{9B8CB2FB-20FC-4E87-9073-16B946A8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106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173355</xdr:colOff>
      <xdr:row>72</xdr:row>
      <xdr:rowOff>62866</xdr:rowOff>
    </xdr:to>
    <xdr:pic>
      <xdr:nvPicPr>
        <xdr:cNvPr id="9" name="Picture 8" descr="https://www.stockbiz.vn/Images/spacer.gif">
          <a:extLst>
            <a:ext uri="{FF2B5EF4-FFF2-40B4-BE49-F238E27FC236}">
              <a16:creationId xmlns:a16="http://schemas.microsoft.com/office/drawing/2014/main" id="{BE049FBF-A9DF-4E78-BFD1-CCCF95BD2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06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173355</xdr:colOff>
      <xdr:row>76</xdr:row>
      <xdr:rowOff>131445</xdr:rowOff>
    </xdr:to>
    <xdr:pic>
      <xdr:nvPicPr>
        <xdr:cNvPr id="10" name="Picture 9" descr="https://www.stockbiz.vn/Images/spacer.gif">
          <a:extLst>
            <a:ext uri="{FF2B5EF4-FFF2-40B4-BE49-F238E27FC236}">
              <a16:creationId xmlns:a16="http://schemas.microsoft.com/office/drawing/2014/main" id="{F1B0A30E-750F-48D3-9BC1-E25A2A491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07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173355</xdr:colOff>
      <xdr:row>77</xdr:row>
      <xdr:rowOff>131443</xdr:rowOff>
    </xdr:to>
    <xdr:pic>
      <xdr:nvPicPr>
        <xdr:cNvPr id="11" name="Picture 10" descr="https://www.stockbiz.vn/Images/spacer.gif">
          <a:extLst>
            <a:ext uri="{FF2B5EF4-FFF2-40B4-BE49-F238E27FC236}">
              <a16:creationId xmlns:a16="http://schemas.microsoft.com/office/drawing/2014/main" id="{894B910E-BB3E-4FA8-B5FB-2F4A2F54E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173355</xdr:colOff>
      <xdr:row>82</xdr:row>
      <xdr:rowOff>47626</xdr:rowOff>
    </xdr:to>
    <xdr:pic>
      <xdr:nvPicPr>
        <xdr:cNvPr id="12" name="Picture 11" descr="https://www.stockbiz.vn/Images/spacer.gif">
          <a:extLst>
            <a:ext uri="{FF2B5EF4-FFF2-40B4-BE49-F238E27FC236}">
              <a16:creationId xmlns:a16="http://schemas.microsoft.com/office/drawing/2014/main" id="{2C0D5624-09D0-4059-BB0F-333748230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03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173355</xdr:colOff>
      <xdr:row>81</xdr:row>
      <xdr:rowOff>62866</xdr:rowOff>
    </xdr:to>
    <xdr:pic>
      <xdr:nvPicPr>
        <xdr:cNvPr id="13" name="Picture 12" descr="https://www.stockbiz.vn/Images/spacer.gif">
          <a:extLst>
            <a:ext uri="{FF2B5EF4-FFF2-40B4-BE49-F238E27FC236}">
              <a16:creationId xmlns:a16="http://schemas.microsoft.com/office/drawing/2014/main" id="{844EB013-5504-4F55-ABCC-DD5407126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204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173355</xdr:colOff>
      <xdr:row>82</xdr:row>
      <xdr:rowOff>139066</xdr:rowOff>
    </xdr:to>
    <xdr:pic>
      <xdr:nvPicPr>
        <xdr:cNvPr id="14" name="Picture 13" descr="https://www.stockbiz.vn/Images/spacer.gif">
          <a:extLst>
            <a:ext uri="{FF2B5EF4-FFF2-40B4-BE49-F238E27FC236}">
              <a16:creationId xmlns:a16="http://schemas.microsoft.com/office/drawing/2014/main" id="{14DE9B2B-9E4A-42E5-B83C-C6C6DB29A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204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173355</xdr:colOff>
      <xdr:row>84</xdr:row>
      <xdr:rowOff>139066</xdr:rowOff>
    </xdr:to>
    <xdr:pic>
      <xdr:nvPicPr>
        <xdr:cNvPr id="15" name="Picture 14" descr="https://www.stockbiz.vn/Images/spacer.gif">
          <a:extLst>
            <a:ext uri="{FF2B5EF4-FFF2-40B4-BE49-F238E27FC236}">
              <a16:creationId xmlns:a16="http://schemas.microsoft.com/office/drawing/2014/main" id="{C61DD8C3-B6A3-4941-9AF8-5A7EFF065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04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173355</xdr:colOff>
      <xdr:row>91</xdr:row>
      <xdr:rowOff>131445</xdr:rowOff>
    </xdr:to>
    <xdr:pic>
      <xdr:nvPicPr>
        <xdr:cNvPr id="16" name="Picture 15" descr="https://www.stockbiz.vn/Images/spacer.gif">
          <a:extLst>
            <a:ext uri="{FF2B5EF4-FFF2-40B4-BE49-F238E27FC236}">
              <a16:creationId xmlns:a16="http://schemas.microsoft.com/office/drawing/2014/main" id="{E074AB6D-8E7E-4B11-8D04-D8ECF6A6E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206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173355</xdr:colOff>
      <xdr:row>94</xdr:row>
      <xdr:rowOff>135253</xdr:rowOff>
    </xdr:to>
    <xdr:pic>
      <xdr:nvPicPr>
        <xdr:cNvPr id="17" name="Picture 16" descr="https://www.stockbiz.vn/Images/spacer.gif">
          <a:extLst>
            <a:ext uri="{FF2B5EF4-FFF2-40B4-BE49-F238E27FC236}">
              <a16:creationId xmlns:a16="http://schemas.microsoft.com/office/drawing/2014/main" id="{E99A599E-0892-4CD4-BE0E-2F2575577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302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173355</xdr:colOff>
      <xdr:row>96</xdr:row>
      <xdr:rowOff>62865</xdr:rowOff>
    </xdr:to>
    <xdr:pic>
      <xdr:nvPicPr>
        <xdr:cNvPr id="18" name="Picture 17" descr="https://www.stockbiz.vn/Images/spacer.gif">
          <a:extLst>
            <a:ext uri="{FF2B5EF4-FFF2-40B4-BE49-F238E27FC236}">
              <a16:creationId xmlns:a16="http://schemas.microsoft.com/office/drawing/2014/main" id="{B63E6A2A-66F8-47BA-8858-6EF9329AC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303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173355</xdr:colOff>
      <xdr:row>97</xdr:row>
      <xdr:rowOff>59054</xdr:rowOff>
    </xdr:to>
    <xdr:pic>
      <xdr:nvPicPr>
        <xdr:cNvPr id="19" name="Picture 18" descr="https://www.stockbiz.vn/Images/spacer.gif">
          <a:extLst>
            <a:ext uri="{FF2B5EF4-FFF2-40B4-BE49-F238E27FC236}">
              <a16:creationId xmlns:a16="http://schemas.microsoft.com/office/drawing/2014/main" id="{2EBEA143-8B9F-4067-A521-7214266EB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303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173355</xdr:colOff>
      <xdr:row>102</xdr:row>
      <xdr:rowOff>131444</xdr:rowOff>
    </xdr:to>
    <xdr:pic>
      <xdr:nvPicPr>
        <xdr:cNvPr id="20" name="Picture 19" descr="https://www.stockbiz.vn/Images/spacer.gif">
          <a:extLst>
            <a:ext uri="{FF2B5EF4-FFF2-40B4-BE49-F238E27FC236}">
              <a16:creationId xmlns:a16="http://schemas.microsoft.com/office/drawing/2014/main" id="{2308839C-0200-4C7F-AEA7-9419B344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304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173355</xdr:colOff>
      <xdr:row>103</xdr:row>
      <xdr:rowOff>131443</xdr:rowOff>
    </xdr:to>
    <xdr:pic>
      <xdr:nvPicPr>
        <xdr:cNvPr id="21" name="Picture 20" descr="https://www.stockbiz.vn/Images/spacer.gif">
          <a:extLst>
            <a:ext uri="{FF2B5EF4-FFF2-40B4-BE49-F238E27FC236}">
              <a16:creationId xmlns:a16="http://schemas.microsoft.com/office/drawing/2014/main" id="{996B6019-CA10-4DAE-B27F-BE191515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304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173355</xdr:colOff>
      <xdr:row>217</xdr:row>
      <xdr:rowOff>62866</xdr:rowOff>
    </xdr:to>
    <xdr:pic>
      <xdr:nvPicPr>
        <xdr:cNvPr id="26" name="Picture 25" descr="https://www.stockbiz.vn/Images/spacer.gif">
          <a:extLst>
            <a:ext uri="{FF2B5EF4-FFF2-40B4-BE49-F238E27FC236}">
              <a16:creationId xmlns:a16="http://schemas.microsoft.com/office/drawing/2014/main" id="{0A378F94-C179-4C0A-8C56-EAC51029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16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173355</xdr:colOff>
      <xdr:row>218</xdr:row>
      <xdr:rowOff>62866</xdr:rowOff>
    </xdr:to>
    <xdr:pic>
      <xdr:nvPicPr>
        <xdr:cNvPr id="27" name="Picture 26" descr="https://www.stockbiz.vn/Images/spacer.gif">
          <a:extLst>
            <a:ext uri="{FF2B5EF4-FFF2-40B4-BE49-F238E27FC236}">
              <a16:creationId xmlns:a16="http://schemas.microsoft.com/office/drawing/2014/main" id="{47695497-3CB2-4A97-9AAB-0BCB23EC1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16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173355</xdr:colOff>
      <xdr:row>220</xdr:row>
      <xdr:rowOff>62866</xdr:rowOff>
    </xdr:to>
    <xdr:pic>
      <xdr:nvPicPr>
        <xdr:cNvPr id="28" name="Picture 27" descr="https://www.stockbiz.vn/Images/spacer.gif">
          <a:extLst>
            <a:ext uri="{FF2B5EF4-FFF2-40B4-BE49-F238E27FC236}">
              <a16:creationId xmlns:a16="http://schemas.microsoft.com/office/drawing/2014/main" id="{0D374526-3A22-4E2B-8888-EB3DBDEB2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17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173355</xdr:colOff>
      <xdr:row>221</xdr:row>
      <xdr:rowOff>59053</xdr:rowOff>
    </xdr:to>
    <xdr:pic>
      <xdr:nvPicPr>
        <xdr:cNvPr id="29" name="Picture 28" descr="https://www.stockbiz.vn/Images/spacer.gif">
          <a:extLst>
            <a:ext uri="{FF2B5EF4-FFF2-40B4-BE49-F238E27FC236}">
              <a16:creationId xmlns:a16="http://schemas.microsoft.com/office/drawing/2014/main" id="{1398F4F8-DC57-45B6-A0D0-1C923E9F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17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173355</xdr:colOff>
      <xdr:row>222</xdr:row>
      <xdr:rowOff>62865</xdr:rowOff>
    </xdr:to>
    <xdr:pic>
      <xdr:nvPicPr>
        <xdr:cNvPr id="30" name="Picture 29" descr="https://www.stockbiz.vn/Images/spacer.gif">
          <a:extLst>
            <a:ext uri="{FF2B5EF4-FFF2-40B4-BE49-F238E27FC236}">
              <a16:creationId xmlns:a16="http://schemas.microsoft.com/office/drawing/2014/main" id="{0285B342-7771-41EB-A28D-B2DFA7DB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17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173355</xdr:colOff>
      <xdr:row>223</xdr:row>
      <xdr:rowOff>62866</xdr:rowOff>
    </xdr:to>
    <xdr:pic>
      <xdr:nvPicPr>
        <xdr:cNvPr id="31" name="Picture 30" descr="https://www.stockbiz.vn/Images/spacer.gif">
          <a:extLst>
            <a:ext uri="{FF2B5EF4-FFF2-40B4-BE49-F238E27FC236}">
              <a16:creationId xmlns:a16="http://schemas.microsoft.com/office/drawing/2014/main" id="{735CDF0C-C19F-468E-8CBC-87869E420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17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173355</xdr:colOff>
      <xdr:row>224</xdr:row>
      <xdr:rowOff>59054</xdr:rowOff>
    </xdr:to>
    <xdr:pic>
      <xdr:nvPicPr>
        <xdr:cNvPr id="32" name="Picture 31" descr="https://www.stockbiz.vn/Images/spacer.gif">
          <a:extLst>
            <a:ext uri="{FF2B5EF4-FFF2-40B4-BE49-F238E27FC236}">
              <a16:creationId xmlns:a16="http://schemas.microsoft.com/office/drawing/2014/main" id="{AAC7C059-E73F-4458-9EBC-90F5D2989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818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173355</xdr:colOff>
      <xdr:row>226</xdr:row>
      <xdr:rowOff>59055</xdr:rowOff>
    </xdr:to>
    <xdr:pic>
      <xdr:nvPicPr>
        <xdr:cNvPr id="33" name="Picture 32" descr="https://www.stockbiz.vn/Images/spacer.gif">
          <a:extLst>
            <a:ext uri="{FF2B5EF4-FFF2-40B4-BE49-F238E27FC236}">
              <a16:creationId xmlns:a16="http://schemas.microsoft.com/office/drawing/2014/main" id="{0CAD4E15-7CC8-415B-AFA2-90DEE30F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18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173355</xdr:colOff>
      <xdr:row>227</xdr:row>
      <xdr:rowOff>62865</xdr:rowOff>
    </xdr:to>
    <xdr:pic>
      <xdr:nvPicPr>
        <xdr:cNvPr id="34" name="Picture 33" descr="https://www.stockbiz.vn/Images/spacer.gif">
          <a:extLst>
            <a:ext uri="{FF2B5EF4-FFF2-40B4-BE49-F238E27FC236}">
              <a16:creationId xmlns:a16="http://schemas.microsoft.com/office/drawing/2014/main" id="{A6C2F9C5-F452-4C62-B76E-1F0C9913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173355</xdr:colOff>
      <xdr:row>228</xdr:row>
      <xdr:rowOff>62866</xdr:rowOff>
    </xdr:to>
    <xdr:pic>
      <xdr:nvPicPr>
        <xdr:cNvPr id="35" name="Picture 34" descr="https://www.stockbiz.vn/Images/spacer.gif">
          <a:extLst>
            <a:ext uri="{FF2B5EF4-FFF2-40B4-BE49-F238E27FC236}">
              <a16:creationId xmlns:a16="http://schemas.microsoft.com/office/drawing/2014/main" id="{6F006F87-03B2-454C-A562-D57FA7199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819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173355</xdr:colOff>
      <xdr:row>229</xdr:row>
      <xdr:rowOff>59053</xdr:rowOff>
    </xdr:to>
    <xdr:pic>
      <xdr:nvPicPr>
        <xdr:cNvPr id="36" name="Picture 35" descr="https://www.stockbiz.vn/Images/spacer.gif">
          <a:extLst>
            <a:ext uri="{FF2B5EF4-FFF2-40B4-BE49-F238E27FC236}">
              <a16:creationId xmlns:a16="http://schemas.microsoft.com/office/drawing/2014/main" id="{C2BC63D2-2EC1-4B21-BD7E-DA5D0F70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19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173355</xdr:colOff>
      <xdr:row>230</xdr:row>
      <xdr:rowOff>62866</xdr:rowOff>
    </xdr:to>
    <xdr:pic>
      <xdr:nvPicPr>
        <xdr:cNvPr id="37" name="Picture 36" descr="https://www.stockbiz.vn/Images/spacer.gif">
          <a:extLst>
            <a:ext uri="{FF2B5EF4-FFF2-40B4-BE49-F238E27FC236}">
              <a16:creationId xmlns:a16="http://schemas.microsoft.com/office/drawing/2014/main" id="{97FE0FC7-536D-4A54-A69B-2ED6ECD7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819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173355</xdr:colOff>
      <xdr:row>231</xdr:row>
      <xdr:rowOff>62865</xdr:rowOff>
    </xdr:to>
    <xdr:pic>
      <xdr:nvPicPr>
        <xdr:cNvPr id="38" name="Picture 37" descr="https://www.stockbiz.vn/Images/spacer.gif">
          <a:extLst>
            <a:ext uri="{FF2B5EF4-FFF2-40B4-BE49-F238E27FC236}">
              <a16:creationId xmlns:a16="http://schemas.microsoft.com/office/drawing/2014/main" id="{6220ECAD-232A-4C85-B0C4-82A1B3589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19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173355</xdr:colOff>
      <xdr:row>232</xdr:row>
      <xdr:rowOff>59054</xdr:rowOff>
    </xdr:to>
    <xdr:pic>
      <xdr:nvPicPr>
        <xdr:cNvPr id="39" name="Picture 38" descr="https://www.stockbiz.vn/Images/spacer.gif">
          <a:extLst>
            <a:ext uri="{FF2B5EF4-FFF2-40B4-BE49-F238E27FC236}">
              <a16:creationId xmlns:a16="http://schemas.microsoft.com/office/drawing/2014/main" id="{E08957B9-B512-42A1-A823-4457FBCD4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173355</xdr:colOff>
      <xdr:row>234</xdr:row>
      <xdr:rowOff>57150</xdr:rowOff>
    </xdr:to>
    <xdr:pic>
      <xdr:nvPicPr>
        <xdr:cNvPr id="40" name="Picture 39" descr="https://www.stockbiz.vn/Images/spacer.gif">
          <a:extLst>
            <a:ext uri="{FF2B5EF4-FFF2-40B4-BE49-F238E27FC236}">
              <a16:creationId xmlns:a16="http://schemas.microsoft.com/office/drawing/2014/main" id="{EA63BA17-70E1-4BB0-A3F8-CD2207FB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0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173355</xdr:colOff>
      <xdr:row>234</xdr:row>
      <xdr:rowOff>57150</xdr:rowOff>
    </xdr:to>
    <xdr:pic>
      <xdr:nvPicPr>
        <xdr:cNvPr id="41" name="Picture 40" descr="https://www.stockbiz.vn/Images/spacer.gif">
          <a:extLst>
            <a:ext uri="{FF2B5EF4-FFF2-40B4-BE49-F238E27FC236}">
              <a16:creationId xmlns:a16="http://schemas.microsoft.com/office/drawing/2014/main" id="{34183514-FFA9-4852-AE67-16F22982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0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173355</xdr:colOff>
      <xdr:row>234</xdr:row>
      <xdr:rowOff>57150</xdr:rowOff>
    </xdr:to>
    <xdr:pic>
      <xdr:nvPicPr>
        <xdr:cNvPr id="42" name="Picture 41" descr="https://www.stockbiz.vn/Images/spacer.gif">
          <a:extLst>
            <a:ext uri="{FF2B5EF4-FFF2-40B4-BE49-F238E27FC236}">
              <a16:creationId xmlns:a16="http://schemas.microsoft.com/office/drawing/2014/main" id="{BD7FA79C-C93C-469F-A5C1-51D24CB1D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820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173355</xdr:colOff>
      <xdr:row>238</xdr:row>
      <xdr:rowOff>62866</xdr:rowOff>
    </xdr:to>
    <xdr:pic>
      <xdr:nvPicPr>
        <xdr:cNvPr id="43" name="Picture 42" descr="https://www.stockbiz.vn/Images/spacer.gif">
          <a:extLst>
            <a:ext uri="{FF2B5EF4-FFF2-40B4-BE49-F238E27FC236}">
              <a16:creationId xmlns:a16="http://schemas.microsoft.com/office/drawing/2014/main" id="{349DAE07-B113-49AD-A03A-26D3D230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21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173355</xdr:colOff>
      <xdr:row>239</xdr:row>
      <xdr:rowOff>59054</xdr:rowOff>
    </xdr:to>
    <xdr:pic>
      <xdr:nvPicPr>
        <xdr:cNvPr id="44" name="Picture 43" descr="https://www.stockbiz.vn/Images/spacer.gif">
          <a:extLst>
            <a:ext uri="{FF2B5EF4-FFF2-40B4-BE49-F238E27FC236}">
              <a16:creationId xmlns:a16="http://schemas.microsoft.com/office/drawing/2014/main" id="{EC72CA56-7B90-419F-878B-4509B689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821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173355</xdr:colOff>
      <xdr:row>241</xdr:row>
      <xdr:rowOff>62865</xdr:rowOff>
    </xdr:to>
    <xdr:pic>
      <xdr:nvPicPr>
        <xdr:cNvPr id="45" name="Picture 44" descr="https://www.stockbiz.vn/Images/spacer.gif">
          <a:extLst>
            <a:ext uri="{FF2B5EF4-FFF2-40B4-BE49-F238E27FC236}">
              <a16:creationId xmlns:a16="http://schemas.microsoft.com/office/drawing/2014/main" id="{BBFB71A6-2BB4-472B-ABA8-225CE764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22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173355</xdr:colOff>
      <xdr:row>242</xdr:row>
      <xdr:rowOff>59055</xdr:rowOff>
    </xdr:to>
    <xdr:pic>
      <xdr:nvPicPr>
        <xdr:cNvPr id="46" name="Picture 45" descr="https://www.stockbiz.vn/Images/spacer.gif">
          <a:extLst>
            <a:ext uri="{FF2B5EF4-FFF2-40B4-BE49-F238E27FC236}">
              <a16:creationId xmlns:a16="http://schemas.microsoft.com/office/drawing/2014/main" id="{21A581CB-72BD-452C-9AED-C8149389C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822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173355</xdr:colOff>
      <xdr:row>243</xdr:row>
      <xdr:rowOff>62866</xdr:rowOff>
    </xdr:to>
    <xdr:pic>
      <xdr:nvPicPr>
        <xdr:cNvPr id="47" name="Picture 46" descr="https://www.stockbiz.vn/Images/spacer.gif">
          <a:extLst>
            <a:ext uri="{FF2B5EF4-FFF2-40B4-BE49-F238E27FC236}">
              <a16:creationId xmlns:a16="http://schemas.microsoft.com/office/drawing/2014/main" id="{CCE6E7DA-1F71-4807-B62D-36981A3B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822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173355</xdr:colOff>
      <xdr:row>244</xdr:row>
      <xdr:rowOff>59054</xdr:rowOff>
    </xdr:to>
    <xdr:pic>
      <xdr:nvPicPr>
        <xdr:cNvPr id="48" name="Picture 47" descr="https://www.stockbiz.vn/Images/spacer.gif">
          <a:extLst>
            <a:ext uri="{FF2B5EF4-FFF2-40B4-BE49-F238E27FC236}">
              <a16:creationId xmlns:a16="http://schemas.microsoft.com/office/drawing/2014/main" id="{878EBC61-451A-458C-A640-2DCA1EBCC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823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173355</xdr:colOff>
      <xdr:row>245</xdr:row>
      <xdr:rowOff>62865</xdr:rowOff>
    </xdr:to>
    <xdr:pic>
      <xdr:nvPicPr>
        <xdr:cNvPr id="49" name="Picture 48" descr="https://www.stockbiz.vn/Images/spacer.gif">
          <a:extLst>
            <a:ext uri="{FF2B5EF4-FFF2-40B4-BE49-F238E27FC236}">
              <a16:creationId xmlns:a16="http://schemas.microsoft.com/office/drawing/2014/main" id="{2019C399-9B2F-4861-9D21-D772B0E45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823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173355</xdr:colOff>
      <xdr:row>247</xdr:row>
      <xdr:rowOff>59054</xdr:rowOff>
    </xdr:to>
    <xdr:pic>
      <xdr:nvPicPr>
        <xdr:cNvPr id="50" name="Picture 49" descr="https://www.stockbiz.vn/Images/spacer.gif">
          <a:extLst>
            <a:ext uri="{FF2B5EF4-FFF2-40B4-BE49-F238E27FC236}">
              <a16:creationId xmlns:a16="http://schemas.microsoft.com/office/drawing/2014/main" id="{BD7773F8-06AE-49A2-AACE-D7211D8D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823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173355</xdr:colOff>
      <xdr:row>248</xdr:row>
      <xdr:rowOff>62866</xdr:rowOff>
    </xdr:to>
    <xdr:pic>
      <xdr:nvPicPr>
        <xdr:cNvPr id="51" name="Picture 50" descr="https://www.stockbiz.vn/Images/spacer.gif">
          <a:extLst>
            <a:ext uri="{FF2B5EF4-FFF2-40B4-BE49-F238E27FC236}">
              <a16:creationId xmlns:a16="http://schemas.microsoft.com/office/drawing/2014/main" id="{BC149072-F2EC-4AA9-B0E1-445BF629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24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173355</xdr:colOff>
      <xdr:row>249</xdr:row>
      <xdr:rowOff>59054</xdr:rowOff>
    </xdr:to>
    <xdr:pic>
      <xdr:nvPicPr>
        <xdr:cNvPr id="52" name="Picture 51" descr="https://www.stockbiz.vn/Images/spacer.gif">
          <a:extLst>
            <a:ext uri="{FF2B5EF4-FFF2-40B4-BE49-F238E27FC236}">
              <a16:creationId xmlns:a16="http://schemas.microsoft.com/office/drawing/2014/main" id="{D8FC763F-9BF5-44F0-A55E-C46533989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824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173355</xdr:colOff>
      <xdr:row>250</xdr:row>
      <xdr:rowOff>62865</xdr:rowOff>
    </xdr:to>
    <xdr:pic>
      <xdr:nvPicPr>
        <xdr:cNvPr id="53" name="Picture 52" descr="https://www.stockbiz.vn/Images/spacer.gif">
          <a:extLst>
            <a:ext uri="{FF2B5EF4-FFF2-40B4-BE49-F238E27FC236}">
              <a16:creationId xmlns:a16="http://schemas.microsoft.com/office/drawing/2014/main" id="{46B3CA06-F364-4214-9CC7-B0EB4F6AB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245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173355</xdr:colOff>
      <xdr:row>251</xdr:row>
      <xdr:rowOff>62867</xdr:rowOff>
    </xdr:to>
    <xdr:pic>
      <xdr:nvPicPr>
        <xdr:cNvPr id="54" name="Picture 53" descr="https://www.stockbiz.vn/Images/spacer.gif">
          <a:extLst>
            <a:ext uri="{FF2B5EF4-FFF2-40B4-BE49-F238E27FC236}">
              <a16:creationId xmlns:a16="http://schemas.microsoft.com/office/drawing/2014/main" id="{12265FCA-1343-4FBC-888E-7C973E264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824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173355</xdr:colOff>
      <xdr:row>252</xdr:row>
      <xdr:rowOff>59054</xdr:rowOff>
    </xdr:to>
    <xdr:pic>
      <xdr:nvPicPr>
        <xdr:cNvPr id="55" name="Picture 54" descr="https://www.stockbiz.vn/Images/spacer.gif">
          <a:extLst>
            <a:ext uri="{FF2B5EF4-FFF2-40B4-BE49-F238E27FC236}">
              <a16:creationId xmlns:a16="http://schemas.microsoft.com/office/drawing/2014/main" id="{41F08601-FB5C-4772-B2A9-6B5A9ED49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173355</xdr:colOff>
      <xdr:row>253</xdr:row>
      <xdr:rowOff>59056</xdr:rowOff>
    </xdr:to>
    <xdr:pic>
      <xdr:nvPicPr>
        <xdr:cNvPr id="56" name="Picture 55" descr="https://www.stockbiz.vn/Images/spacer.gif">
          <a:extLst>
            <a:ext uri="{FF2B5EF4-FFF2-40B4-BE49-F238E27FC236}">
              <a16:creationId xmlns:a16="http://schemas.microsoft.com/office/drawing/2014/main" id="{34A2BCA0-C13E-4830-ADF1-426D9CF3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252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173355</xdr:colOff>
      <xdr:row>253</xdr:row>
      <xdr:rowOff>57150</xdr:rowOff>
    </xdr:to>
    <xdr:pic>
      <xdr:nvPicPr>
        <xdr:cNvPr id="57" name="Picture 56" descr="https://www.stockbiz.vn/Images/spacer.gif">
          <a:extLst>
            <a:ext uri="{FF2B5EF4-FFF2-40B4-BE49-F238E27FC236}">
              <a16:creationId xmlns:a16="http://schemas.microsoft.com/office/drawing/2014/main" id="{E459DD4F-C3F1-4FD4-9360-6FBB8442D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25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173355</xdr:colOff>
      <xdr:row>253</xdr:row>
      <xdr:rowOff>57150</xdr:rowOff>
    </xdr:to>
    <xdr:pic>
      <xdr:nvPicPr>
        <xdr:cNvPr id="58" name="Picture 57" descr="https://www.stockbiz.vn/Images/spacer.gif">
          <a:extLst>
            <a:ext uri="{FF2B5EF4-FFF2-40B4-BE49-F238E27FC236}">
              <a16:creationId xmlns:a16="http://schemas.microsoft.com/office/drawing/2014/main" id="{90CD7558-13F9-440A-BF96-CB64EC611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25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173355</xdr:colOff>
      <xdr:row>253</xdr:row>
      <xdr:rowOff>57150</xdr:rowOff>
    </xdr:to>
    <xdr:pic>
      <xdr:nvPicPr>
        <xdr:cNvPr id="59" name="Picture 58" descr="https://www.stockbiz.vn/Images/spacer.gif">
          <a:extLst>
            <a:ext uri="{FF2B5EF4-FFF2-40B4-BE49-F238E27FC236}">
              <a16:creationId xmlns:a16="http://schemas.microsoft.com/office/drawing/2014/main" id="{F5C62158-13F7-4EF7-9CB7-49A12694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2575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D17D02-E27F-4120-BF12-7B6FF109D37C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iEgqPkJYHZylIyHbye37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Z494"/>
  <sheetViews>
    <sheetView showGridLines="0" zoomScale="115" zoomScaleNormal="115" zoomScaleSheetLayoutView="70" workbookViewId="0">
      <selection activeCell="N10" sqref="N10"/>
    </sheetView>
  </sheetViews>
  <sheetFormatPr defaultRowHeight="15"/>
  <cols>
    <col min="1" max="1" width="2.28515625" customWidth="1"/>
    <col min="2" max="2" width="20.85546875" customWidth="1"/>
    <col min="3" max="3" width="12.28515625" customWidth="1"/>
    <col min="4" max="4" width="14.140625" customWidth="1"/>
    <col min="5" max="5" width="22.28515625" customWidth="1"/>
    <col min="6" max="9" width="16.28515625" bestFit="1" customWidth="1"/>
    <col min="10" max="10" width="12.28515625" customWidth="1"/>
    <col min="11" max="11" width="7.42578125" bestFit="1" customWidth="1"/>
    <col min="12" max="18" width="9"/>
    <col min="19" max="19" width="1.140625" customWidth="1"/>
    <col min="20" max="22" width="9"/>
  </cols>
  <sheetData>
    <row r="1" spans="1:10" ht="31.5">
      <c r="A1" s="281"/>
      <c r="B1" s="507" t="s">
        <v>0</v>
      </c>
      <c r="C1" s="507"/>
      <c r="D1" s="507"/>
      <c r="E1" s="507"/>
      <c r="F1" s="507"/>
      <c r="G1" s="507"/>
      <c r="H1" s="507"/>
      <c r="I1" s="507"/>
      <c r="J1" s="507"/>
    </row>
    <row r="3" spans="1:10" ht="23.25">
      <c r="B3" s="282" t="s">
        <v>1</v>
      </c>
      <c r="C3" s="24"/>
      <c r="D3" s="22"/>
      <c r="E3" s="93"/>
      <c r="F3" s="22"/>
      <c r="G3" s="22"/>
      <c r="H3" s="22"/>
      <c r="I3" s="22"/>
      <c r="J3" s="22"/>
    </row>
    <row r="4" spans="1:10">
      <c r="E4" s="94"/>
    </row>
    <row r="5" spans="1:10">
      <c r="E5" s="94"/>
    </row>
    <row r="6" spans="1:10">
      <c r="E6" s="94"/>
    </row>
    <row r="7" spans="1:10" ht="24.75" customHeight="1">
      <c r="E7" s="94"/>
    </row>
    <row r="8" spans="1:10" ht="24.75" customHeight="1">
      <c r="E8" s="94"/>
    </row>
    <row r="9" spans="1:10" ht="24.75" customHeight="1">
      <c r="E9" s="94"/>
    </row>
    <row r="10" spans="1:10">
      <c r="E10" s="94"/>
    </row>
    <row r="11" spans="1:10">
      <c r="E11" s="94"/>
    </row>
    <row r="12" spans="1:10">
      <c r="E12" s="94"/>
    </row>
    <row r="13" spans="1:10">
      <c r="E13" s="94"/>
    </row>
    <row r="14" spans="1:10">
      <c r="E14" s="94"/>
    </row>
    <row r="15" spans="1:10">
      <c r="E15" s="94"/>
    </row>
    <row r="16" spans="1:10">
      <c r="E16" s="94"/>
    </row>
    <row r="17" spans="2:10" ht="21.75" customHeight="1">
      <c r="E17" s="94"/>
    </row>
    <row r="18" spans="2:10" ht="14.25" customHeight="1">
      <c r="E18" s="94"/>
    </row>
    <row r="19" spans="2:10" ht="11.25" customHeight="1">
      <c r="E19" s="94"/>
    </row>
    <row r="20" spans="2:10">
      <c r="B20" s="17"/>
      <c r="C20" s="17"/>
      <c r="D20" s="17"/>
      <c r="E20" s="95"/>
      <c r="F20" s="17"/>
      <c r="G20" s="17"/>
      <c r="H20" s="17"/>
      <c r="I20" s="17"/>
      <c r="J20" s="17"/>
    </row>
    <row r="21" spans="2:10">
      <c r="E21" s="94"/>
    </row>
    <row r="22" spans="2:10">
      <c r="E22" s="94"/>
    </row>
    <row r="23" spans="2:10">
      <c r="E23" s="94"/>
    </row>
    <row r="24" spans="2:10">
      <c r="E24" s="94"/>
    </row>
    <row r="25" spans="2:10">
      <c r="E25" s="94"/>
    </row>
    <row r="26" spans="2:10">
      <c r="E26" s="94"/>
    </row>
    <row r="27" spans="2:10">
      <c r="E27" s="94"/>
    </row>
    <row r="28" spans="2:10">
      <c r="E28" s="94"/>
    </row>
    <row r="29" spans="2:10" ht="22.5" customHeight="1">
      <c r="E29" s="94"/>
    </row>
    <row r="30" spans="2:10">
      <c r="E30" s="94"/>
    </row>
    <row r="31" spans="2:10">
      <c r="E31" s="94"/>
    </row>
    <row r="32" spans="2:10">
      <c r="E32" s="94"/>
    </row>
    <row r="33" spans="2:10">
      <c r="E33" s="94"/>
    </row>
    <row r="34" spans="2:10">
      <c r="E34" s="94"/>
    </row>
    <row r="35" spans="2:10" ht="23.25">
      <c r="B35" s="302"/>
      <c r="C35" s="303"/>
      <c r="E35" s="94"/>
    </row>
    <row r="36" spans="2:10">
      <c r="E36" s="94"/>
    </row>
    <row r="37" spans="2:10" ht="17.25" customHeight="1">
      <c r="E37" s="94"/>
    </row>
    <row r="38" spans="2:10" ht="17.25" customHeight="1">
      <c r="B38" s="17"/>
      <c r="C38" s="17"/>
      <c r="D38" s="17"/>
      <c r="E38" s="17"/>
      <c r="F38" s="17"/>
      <c r="G38" s="17"/>
      <c r="H38" s="17"/>
      <c r="I38" s="17"/>
      <c r="J38" s="17"/>
    </row>
    <row r="39" spans="2:10" ht="17.25" customHeight="1"/>
    <row r="40" spans="2:10" ht="17.25" customHeight="1"/>
    <row r="41" spans="2:10" ht="23.25">
      <c r="B41" s="282" t="s">
        <v>2</v>
      </c>
      <c r="C41" s="24"/>
      <c r="D41" s="20"/>
      <c r="E41" s="96"/>
      <c r="F41" s="20"/>
      <c r="G41" s="20"/>
      <c r="H41" s="20"/>
      <c r="I41" s="20"/>
      <c r="J41" s="20"/>
    </row>
    <row r="42" spans="2:10">
      <c r="E42" s="94"/>
    </row>
    <row r="43" spans="2:10" ht="18.75" customHeight="1">
      <c r="E43" s="94"/>
    </row>
    <row r="44" spans="2:10" ht="18.75" customHeight="1">
      <c r="E44" s="94"/>
    </row>
    <row r="45" spans="2:10" ht="18.75" customHeight="1">
      <c r="E45" s="94"/>
    </row>
    <row r="46" spans="2:10" ht="18.75" customHeight="1">
      <c r="E46" s="94"/>
    </row>
    <row r="47" spans="2:10" ht="18.75" customHeight="1">
      <c r="E47" s="94"/>
    </row>
    <row r="48" spans="2:10" ht="18.75" customHeight="1">
      <c r="E48" s="94"/>
    </row>
    <row r="49" spans="2:10" ht="18.75" customHeight="1">
      <c r="E49" s="94"/>
    </row>
    <row r="50" spans="2:10" ht="18.75" customHeight="1">
      <c r="E50" s="94"/>
    </row>
    <row r="51" spans="2:10" ht="18.75" customHeight="1">
      <c r="E51" s="94"/>
    </row>
    <row r="52" spans="2:10" ht="18.75" customHeight="1">
      <c r="E52" s="94"/>
    </row>
    <row r="53" spans="2:10" ht="18.75" customHeight="1">
      <c r="E53" s="94"/>
    </row>
    <row r="54" spans="2:10" ht="19.5" customHeight="1">
      <c r="B54" s="17"/>
      <c r="C54" s="17"/>
      <c r="D54" s="17"/>
      <c r="E54" s="95"/>
      <c r="F54" s="17"/>
      <c r="G54" s="17"/>
      <c r="H54" s="17"/>
      <c r="I54" s="17"/>
      <c r="J54" s="17"/>
    </row>
    <row r="55" spans="2:10" ht="2.25" customHeight="1">
      <c r="E55" s="94"/>
    </row>
    <row r="56" spans="2:10" ht="18.75" customHeight="1">
      <c r="E56" s="94"/>
    </row>
    <row r="57" spans="2:10" ht="18.75" customHeight="1">
      <c r="E57" s="94"/>
    </row>
    <row r="58" spans="2:10" ht="23.25" customHeight="1">
      <c r="E58" s="94"/>
    </row>
    <row r="59" spans="2:10" ht="23.25" customHeight="1">
      <c r="E59" s="94"/>
    </row>
    <row r="60" spans="2:10" ht="23.25" customHeight="1">
      <c r="E60" s="94"/>
    </row>
    <row r="61" spans="2:10" ht="23.25" customHeight="1">
      <c r="E61" s="94"/>
    </row>
    <row r="62" spans="2:10" ht="23.25" customHeight="1">
      <c r="E62" s="94"/>
    </row>
    <row r="63" spans="2:10" ht="18.75" customHeight="1">
      <c r="E63" s="94"/>
    </row>
    <row r="64" spans="2:10" ht="18.75" customHeight="1">
      <c r="E64" s="94"/>
    </row>
    <row r="65" spans="2:10" ht="18.75" customHeight="1">
      <c r="E65" s="94"/>
    </row>
    <row r="66" spans="2:10" ht="18.75" customHeight="1">
      <c r="B66" s="17"/>
      <c r="C66" s="17"/>
      <c r="D66" s="17"/>
      <c r="E66" s="95"/>
      <c r="F66" s="17"/>
      <c r="G66" s="17"/>
      <c r="H66" s="17"/>
      <c r="I66" s="17"/>
      <c r="J66" s="17"/>
    </row>
    <row r="67" spans="2:10" ht="4.5" customHeight="1">
      <c r="E67" s="94"/>
    </row>
    <row r="68" spans="2:10" ht="18.75" customHeight="1">
      <c r="E68" s="94"/>
    </row>
    <row r="69" spans="2:10" ht="18.75" customHeight="1">
      <c r="E69" s="94"/>
    </row>
    <row r="70" spans="2:10" ht="25.5" customHeight="1">
      <c r="E70" s="94"/>
    </row>
    <row r="71" spans="2:10" ht="25.5" customHeight="1">
      <c r="E71" s="94"/>
    </row>
    <row r="72" spans="2:10" ht="25.5" customHeight="1">
      <c r="E72" s="94"/>
    </row>
    <row r="73" spans="2:10" ht="25.5" customHeight="1">
      <c r="E73" s="94"/>
    </row>
    <row r="74" spans="2:10" ht="25.5" customHeight="1">
      <c r="E74" s="94"/>
    </row>
    <row r="75" spans="2:10" ht="25.5" customHeight="1">
      <c r="E75" s="94"/>
    </row>
    <row r="76" spans="2:10" ht="25.5" customHeight="1">
      <c r="E76" s="94"/>
    </row>
    <row r="77" spans="2:10">
      <c r="E77" s="94"/>
    </row>
    <row r="78" spans="2:10">
      <c r="E78" s="94"/>
    </row>
    <row r="79" spans="2:10">
      <c r="B79" s="17"/>
      <c r="C79" s="17"/>
      <c r="D79" s="17"/>
      <c r="E79" s="95"/>
      <c r="F79" s="17"/>
      <c r="G79" s="17"/>
      <c r="H79" s="17"/>
      <c r="I79" s="17"/>
      <c r="J79" s="17"/>
    </row>
    <row r="80" spans="2:10" ht="4.5" customHeight="1">
      <c r="E80" s="94"/>
    </row>
    <row r="81" spans="5:5">
      <c r="E81" s="94"/>
    </row>
    <row r="82" spans="5:5">
      <c r="E82" s="94"/>
    </row>
    <row r="83" spans="5:5">
      <c r="E83" s="94"/>
    </row>
    <row r="84" spans="5:5">
      <c r="E84" s="94"/>
    </row>
    <row r="85" spans="5:5">
      <c r="E85" s="94"/>
    </row>
    <row r="86" spans="5:5">
      <c r="E86" s="94"/>
    </row>
    <row r="87" spans="5:5">
      <c r="E87" s="94"/>
    </row>
    <row r="88" spans="5:5">
      <c r="E88" s="94"/>
    </row>
    <row r="89" spans="5:5">
      <c r="E89" s="94"/>
    </row>
    <row r="90" spans="5:5">
      <c r="E90" s="94"/>
    </row>
    <row r="91" spans="5:5">
      <c r="E91" s="94"/>
    </row>
    <row r="92" spans="5:5">
      <c r="E92" s="94"/>
    </row>
    <row r="93" spans="5:5">
      <c r="E93" s="94"/>
    </row>
    <row r="94" spans="5:5">
      <c r="E94" s="94"/>
    </row>
    <row r="95" spans="5:5">
      <c r="E95" s="94"/>
    </row>
    <row r="96" spans="5:5">
      <c r="E96" s="94"/>
    </row>
    <row r="97" spans="2:10">
      <c r="E97" s="94"/>
    </row>
    <row r="98" spans="2:10">
      <c r="E98" s="94"/>
    </row>
    <row r="99" spans="2:10">
      <c r="B99" s="17"/>
      <c r="C99" s="17"/>
      <c r="D99" s="17"/>
      <c r="E99" s="95"/>
      <c r="F99" s="17"/>
      <c r="G99" s="17"/>
      <c r="H99" s="17"/>
      <c r="I99" s="17"/>
      <c r="J99" s="17"/>
    </row>
    <row r="100" spans="2:10">
      <c r="E100" s="94"/>
    </row>
    <row r="101" spans="2:10">
      <c r="E101" s="94"/>
    </row>
    <row r="102" spans="2:10">
      <c r="E102" s="94"/>
    </row>
    <row r="103" spans="2:10">
      <c r="E103" s="94"/>
    </row>
    <row r="104" spans="2:10">
      <c r="E104" s="94"/>
    </row>
    <row r="105" spans="2:10">
      <c r="E105" s="94"/>
    </row>
    <row r="106" spans="2:10">
      <c r="E106" s="94"/>
    </row>
    <row r="107" spans="2:10">
      <c r="E107" s="94"/>
    </row>
    <row r="108" spans="2:10">
      <c r="E108" s="94"/>
    </row>
    <row r="109" spans="2:10">
      <c r="E109" s="94"/>
    </row>
    <row r="110" spans="2:10">
      <c r="E110" s="94"/>
    </row>
    <row r="111" spans="2:10">
      <c r="E111" s="94"/>
    </row>
    <row r="112" spans="2:10">
      <c r="E112" s="94"/>
    </row>
    <row r="113" spans="2:10">
      <c r="E113" s="94"/>
    </row>
    <row r="114" spans="2:10">
      <c r="E114" s="94"/>
    </row>
    <row r="115" spans="2:10">
      <c r="E115" s="94"/>
    </row>
    <row r="116" spans="2:10">
      <c r="E116" s="94"/>
    </row>
    <row r="117" spans="2:10">
      <c r="E117" s="94"/>
    </row>
    <row r="118" spans="2:10">
      <c r="E118" s="94"/>
    </row>
    <row r="119" spans="2:10">
      <c r="B119" s="17"/>
      <c r="C119" s="17"/>
      <c r="D119" s="17"/>
      <c r="E119" s="95"/>
      <c r="F119" s="17"/>
      <c r="G119" s="17"/>
      <c r="H119" s="17"/>
      <c r="I119" s="17"/>
      <c r="J119" s="17"/>
    </row>
    <row r="127" spans="2:10" ht="23.25">
      <c r="B127" s="282" t="s">
        <v>3</v>
      </c>
      <c r="C127" s="17"/>
      <c r="D127" s="17"/>
      <c r="E127" s="17"/>
      <c r="F127" s="17"/>
      <c r="G127" s="17"/>
      <c r="H127" s="17"/>
      <c r="I127" s="17"/>
      <c r="J127" s="17"/>
    </row>
    <row r="128" spans="2:10">
      <c r="E128" s="94"/>
    </row>
    <row r="129" spans="2:10">
      <c r="E129" s="94"/>
    </row>
    <row r="130" spans="2:10">
      <c r="E130" s="94"/>
    </row>
    <row r="131" spans="2:10">
      <c r="E131" s="94"/>
    </row>
    <row r="132" spans="2:10">
      <c r="E132" s="94"/>
    </row>
    <row r="133" spans="2:10">
      <c r="E133" s="94"/>
    </row>
    <row r="134" spans="2:10">
      <c r="E134" s="94"/>
    </row>
    <row r="135" spans="2:10">
      <c r="E135" s="94"/>
    </row>
    <row r="136" spans="2:10">
      <c r="E136" s="94"/>
    </row>
    <row r="137" spans="2:10">
      <c r="E137" s="94"/>
    </row>
    <row r="138" spans="2:10">
      <c r="E138" s="94"/>
    </row>
    <row r="139" spans="2:10">
      <c r="E139" s="94"/>
    </row>
    <row r="140" spans="2:10">
      <c r="E140" s="94"/>
    </row>
    <row r="141" spans="2:10">
      <c r="E141" s="94"/>
    </row>
    <row r="142" spans="2:10">
      <c r="E142" s="94"/>
    </row>
    <row r="143" spans="2:10">
      <c r="E143" s="94"/>
    </row>
    <row r="144" spans="2:10" ht="3.75" customHeight="1">
      <c r="B144" s="17"/>
      <c r="C144" s="17"/>
      <c r="D144" s="17"/>
      <c r="E144" s="95"/>
      <c r="F144" s="17"/>
      <c r="G144" s="17"/>
      <c r="H144" s="17"/>
      <c r="I144" s="17"/>
      <c r="J144" s="17"/>
    </row>
    <row r="145" spans="5:5">
      <c r="E145" s="94"/>
    </row>
    <row r="146" spans="5:5">
      <c r="E146" s="94"/>
    </row>
    <row r="147" spans="5:5">
      <c r="E147" s="94"/>
    </row>
    <row r="148" spans="5:5">
      <c r="E148" s="94"/>
    </row>
    <row r="149" spans="5:5">
      <c r="E149" s="94"/>
    </row>
    <row r="150" spans="5:5">
      <c r="E150" s="94"/>
    </row>
    <row r="151" spans="5:5">
      <c r="E151" s="94"/>
    </row>
    <row r="152" spans="5:5">
      <c r="E152" s="94"/>
    </row>
    <row r="153" spans="5:5">
      <c r="E153" s="94"/>
    </row>
    <row r="154" spans="5:5">
      <c r="E154" s="94"/>
    </row>
    <row r="155" spans="5:5">
      <c r="E155" s="94"/>
    </row>
    <row r="156" spans="5:5">
      <c r="E156" s="94"/>
    </row>
    <row r="157" spans="5:5">
      <c r="E157" s="94"/>
    </row>
    <row r="158" spans="5:5" ht="13.5" customHeight="1">
      <c r="E158" s="94"/>
    </row>
    <row r="159" spans="5:5" ht="13.5" customHeight="1">
      <c r="E159" s="94"/>
    </row>
    <row r="160" spans="5:5" ht="13.5" customHeight="1">
      <c r="E160" s="94"/>
    </row>
    <row r="161" spans="2:10" ht="6" customHeight="1">
      <c r="B161" s="17"/>
      <c r="C161" s="17"/>
      <c r="D161" s="17"/>
      <c r="E161" s="95"/>
      <c r="F161" s="17"/>
      <c r="G161" s="17"/>
      <c r="H161" s="17"/>
      <c r="I161" s="17"/>
      <c r="J161" s="17"/>
    </row>
    <row r="162" spans="2:10" ht="13.5" customHeight="1">
      <c r="E162" s="94"/>
    </row>
    <row r="163" spans="2:10" ht="13.5" customHeight="1">
      <c r="E163" s="94"/>
    </row>
    <row r="164" spans="2:10" ht="13.5" customHeight="1">
      <c r="E164" s="94"/>
    </row>
    <row r="165" spans="2:10" ht="13.5" customHeight="1">
      <c r="E165" s="94"/>
    </row>
    <row r="166" spans="2:10" ht="13.5" customHeight="1">
      <c r="E166" s="94"/>
    </row>
    <row r="167" spans="2:10" ht="13.5" customHeight="1">
      <c r="E167" s="94"/>
    </row>
    <row r="168" spans="2:10" ht="13.5" customHeight="1">
      <c r="E168" s="94"/>
    </row>
    <row r="169" spans="2:10" ht="13.5" customHeight="1">
      <c r="E169" s="94"/>
    </row>
    <row r="170" spans="2:10" ht="13.5" customHeight="1">
      <c r="E170" s="94"/>
    </row>
    <row r="171" spans="2:10" ht="13.5" customHeight="1">
      <c r="E171" s="94"/>
    </row>
    <row r="172" spans="2:10" ht="13.5" customHeight="1">
      <c r="E172" s="94"/>
    </row>
    <row r="173" spans="2:10" ht="13.5" customHeight="1">
      <c r="E173" s="94"/>
    </row>
    <row r="174" spans="2:10" ht="13.5" customHeight="1">
      <c r="E174" s="94"/>
    </row>
    <row r="175" spans="2:10" ht="13.5" customHeight="1">
      <c r="E175" s="94"/>
    </row>
    <row r="176" spans="2:10" ht="13.5" customHeight="1">
      <c r="E176" s="94"/>
    </row>
    <row r="177" spans="2:26" ht="13.5" customHeight="1">
      <c r="E177" s="94"/>
    </row>
    <row r="178" spans="2:26" ht="13.5" customHeight="1">
      <c r="E178" s="94"/>
    </row>
    <row r="179" spans="2:26" ht="13.5" customHeight="1">
      <c r="E179" s="94"/>
    </row>
    <row r="180" spans="2:26" ht="13.5" customHeight="1">
      <c r="E180" s="94"/>
    </row>
    <row r="181" spans="2:26" ht="13.5" customHeight="1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26" ht="13.5" customHeight="1"/>
    <row r="183" spans="2:26" ht="13.5" customHeight="1"/>
    <row r="184" spans="2:26" ht="13.5" customHeight="1"/>
    <row r="185" spans="2:26" ht="23.25">
      <c r="B185" s="283" t="s">
        <v>4</v>
      </c>
      <c r="C185" s="27"/>
      <c r="D185" s="19"/>
      <c r="E185" s="97"/>
      <c r="F185" s="19"/>
      <c r="G185" s="19"/>
      <c r="H185" s="19"/>
      <c r="I185" s="19"/>
      <c r="J185" s="19"/>
    </row>
    <row r="186" spans="2:26" ht="21" customHeight="1">
      <c r="E186" s="94"/>
    </row>
    <row r="187" spans="2:26" ht="21.75" customHeight="1">
      <c r="E187" s="94"/>
      <c r="K187" s="29"/>
      <c r="L187" s="31" t="s">
        <v>2</v>
      </c>
      <c r="M187" s="32"/>
      <c r="N187" s="32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2:26">
      <c r="E188" s="94"/>
      <c r="Z188" s="18"/>
    </row>
    <row r="189" spans="2:26">
      <c r="E189" s="94"/>
      <c r="Z189" s="18"/>
    </row>
    <row r="190" spans="2:26">
      <c r="E190" s="94"/>
      <c r="Z190" s="18"/>
    </row>
    <row r="191" spans="2:26">
      <c r="E191" s="94"/>
      <c r="Z191" s="18"/>
    </row>
    <row r="192" spans="2:26">
      <c r="E192" s="94"/>
      <c r="Z192" s="18"/>
    </row>
    <row r="193" spans="2:26">
      <c r="E193" s="94"/>
      <c r="Z193" s="18"/>
    </row>
    <row r="194" spans="2:26">
      <c r="E194" s="94"/>
      <c r="Z194" s="18"/>
    </row>
    <row r="195" spans="2:26">
      <c r="E195" s="94"/>
      <c r="Z195" s="18"/>
    </row>
    <row r="196" spans="2:26">
      <c r="E196" s="94"/>
      <c r="Z196" s="18"/>
    </row>
    <row r="197" spans="2:26">
      <c r="E197" s="94"/>
      <c r="Z197" s="18"/>
    </row>
    <row r="198" spans="2:26">
      <c r="E198" s="94"/>
      <c r="Z198" s="18"/>
    </row>
    <row r="199" spans="2:26">
      <c r="E199" s="94"/>
      <c r="Z199" s="18"/>
    </row>
    <row r="200" spans="2:26">
      <c r="E200" s="94"/>
      <c r="Z200" s="18"/>
    </row>
    <row r="201" spans="2:26">
      <c r="E201" s="94"/>
      <c r="Z201" s="18"/>
    </row>
    <row r="202" spans="2:26">
      <c r="E202" s="94"/>
      <c r="Z202" s="18"/>
    </row>
    <row r="203" spans="2:26" ht="4.5" customHeight="1">
      <c r="E203" s="94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3"/>
    </row>
    <row r="204" spans="2:26">
      <c r="E204" s="94"/>
      <c r="Z204" s="18"/>
    </row>
    <row r="205" spans="2:26">
      <c r="B205" s="17"/>
      <c r="C205" s="17"/>
      <c r="D205" s="17"/>
      <c r="E205" s="95"/>
      <c r="F205" s="17"/>
      <c r="G205" s="17"/>
      <c r="H205" s="17"/>
      <c r="I205" s="17"/>
      <c r="J205" s="17"/>
      <c r="Z205" s="18"/>
    </row>
    <row r="206" spans="2:26" ht="4.5" customHeight="1">
      <c r="E206" s="94"/>
      <c r="Z206" s="18"/>
    </row>
    <row r="207" spans="2:26">
      <c r="E207" s="94"/>
      <c r="Z207" s="18"/>
    </row>
    <row r="208" spans="2:26">
      <c r="E208" s="94"/>
      <c r="Z208" s="18"/>
    </row>
    <row r="209" spans="2:26">
      <c r="E209" s="94"/>
      <c r="Z209" s="18"/>
    </row>
    <row r="210" spans="2:26">
      <c r="E210" s="94"/>
      <c r="Z210" s="18"/>
    </row>
    <row r="211" spans="2:26">
      <c r="E211" s="94"/>
      <c r="Z211" s="18"/>
    </row>
    <row r="212" spans="2:26">
      <c r="E212" s="94"/>
      <c r="Z212" s="18"/>
    </row>
    <row r="213" spans="2:26">
      <c r="E213" s="94"/>
      <c r="Z213" s="18"/>
    </row>
    <row r="214" spans="2:26">
      <c r="E214" s="94"/>
      <c r="Z214" s="18"/>
    </row>
    <row r="215" spans="2:26">
      <c r="E215" s="94"/>
      <c r="Z215" s="18"/>
    </row>
    <row r="216" spans="2:26">
      <c r="E216" s="94"/>
      <c r="Z216" s="18"/>
    </row>
    <row r="217" spans="2:26">
      <c r="E217" s="94"/>
      <c r="Z217" s="18"/>
    </row>
    <row r="218" spans="2:26">
      <c r="B218" s="28" t="s">
        <v>5</v>
      </c>
      <c r="C218" s="28"/>
      <c r="E218" s="94"/>
      <c r="Z218" s="18"/>
    </row>
    <row r="219" spans="2:26">
      <c r="E219" s="94"/>
      <c r="Z219" s="18"/>
    </row>
    <row r="220" spans="2:26" ht="21.75" customHeight="1">
      <c r="E220" s="94"/>
      <c r="Z220" s="18"/>
    </row>
    <row r="221" spans="2:26">
      <c r="E221" s="94"/>
      <c r="Z221" s="18"/>
    </row>
    <row r="222" spans="2:26">
      <c r="E222" s="94"/>
      <c r="Z222" s="18"/>
    </row>
    <row r="223" spans="2:26">
      <c r="E223" s="94"/>
      <c r="Z223" s="18"/>
    </row>
    <row r="224" spans="2:26">
      <c r="E224" s="94"/>
      <c r="Z224" s="18"/>
    </row>
    <row r="225" spans="2:26">
      <c r="B225" s="17"/>
      <c r="C225" s="17"/>
      <c r="D225" s="17"/>
      <c r="E225" s="95"/>
      <c r="F225" s="17"/>
      <c r="G225" s="17"/>
      <c r="H225" s="17"/>
      <c r="I225" s="17"/>
      <c r="J225" s="17"/>
      <c r="Z225" s="18"/>
    </row>
    <row r="226" spans="2:26">
      <c r="E226" s="94"/>
      <c r="Z226" s="18"/>
    </row>
    <row r="227" spans="2:26">
      <c r="E227" s="94"/>
      <c r="Z227" s="18"/>
    </row>
    <row r="228" spans="2:26">
      <c r="E228" s="94"/>
      <c r="Z228" s="18"/>
    </row>
    <row r="229" spans="2:26">
      <c r="E229" s="94"/>
      <c r="Z229" s="18"/>
    </row>
    <row r="230" spans="2:26">
      <c r="E230" s="94"/>
      <c r="Z230" s="18"/>
    </row>
    <row r="231" spans="2:26">
      <c r="E231" s="94"/>
      <c r="Z231" s="18"/>
    </row>
    <row r="232" spans="2:26">
      <c r="E232" s="94"/>
      <c r="Z232" s="18"/>
    </row>
    <row r="233" spans="2:26">
      <c r="E233" s="94"/>
      <c r="Z233" s="18"/>
    </row>
    <row r="234" spans="2:26">
      <c r="E234" s="94"/>
      <c r="Z234" s="18"/>
    </row>
    <row r="235" spans="2:26">
      <c r="E235" s="94"/>
      <c r="Z235" s="18"/>
    </row>
    <row r="236" spans="2:26">
      <c r="E236" s="94"/>
      <c r="Z236" s="18"/>
    </row>
    <row r="237" spans="2:26" ht="7.5" customHeight="1">
      <c r="E237" s="94"/>
      <c r="Z237" s="18"/>
    </row>
    <row r="238" spans="2:26">
      <c r="E238" s="94"/>
      <c r="Z238" s="18"/>
    </row>
    <row r="239" spans="2:26">
      <c r="E239" s="94"/>
      <c r="Z239" s="18"/>
    </row>
    <row r="240" spans="2:26">
      <c r="E240" s="94"/>
      <c r="Z240" s="18"/>
    </row>
    <row r="241" spans="2:26">
      <c r="E241" s="94"/>
      <c r="Z241" s="18"/>
    </row>
    <row r="242" spans="2:26">
      <c r="E242" s="94"/>
      <c r="Z242" s="18"/>
    </row>
    <row r="243" spans="2:26">
      <c r="E243" s="94"/>
      <c r="Z243" s="18"/>
    </row>
    <row r="244" spans="2:26">
      <c r="E244" s="94"/>
      <c r="Z244" s="18"/>
    </row>
    <row r="245" spans="2:26">
      <c r="B245" s="17"/>
      <c r="C245" s="17"/>
      <c r="D245" s="17"/>
      <c r="E245" s="95"/>
      <c r="F245" s="17"/>
      <c r="G245" s="17"/>
      <c r="H245" s="17"/>
      <c r="I245" s="17"/>
      <c r="J245" s="17"/>
      <c r="Z245" s="18"/>
    </row>
    <row r="246" spans="2:26" ht="23.25">
      <c r="B246" s="282" t="s">
        <v>6</v>
      </c>
      <c r="C246" s="17"/>
      <c r="D246" s="17"/>
      <c r="E246" s="17"/>
      <c r="F246" s="17"/>
      <c r="G246" s="17"/>
      <c r="H246" s="17"/>
      <c r="I246" s="17"/>
      <c r="J246" s="17"/>
    </row>
    <row r="247" spans="2:26">
      <c r="E247" s="94"/>
    </row>
    <row r="248" spans="2:26">
      <c r="E248" s="94"/>
    </row>
    <row r="249" spans="2:26">
      <c r="E249" s="94"/>
    </row>
    <row r="250" spans="2:26">
      <c r="E250" s="94"/>
    </row>
    <row r="251" spans="2:26">
      <c r="E251" s="94"/>
    </row>
    <row r="252" spans="2:26">
      <c r="E252" s="94"/>
    </row>
    <row r="253" spans="2:26">
      <c r="E253" s="94"/>
    </row>
    <row r="254" spans="2:26">
      <c r="E254" s="94"/>
    </row>
    <row r="255" spans="2:26">
      <c r="E255" s="94"/>
    </row>
    <row r="256" spans="2:26">
      <c r="E256" s="94"/>
    </row>
    <row r="257" spans="2:10">
      <c r="E257" s="94"/>
    </row>
    <row r="258" spans="2:10">
      <c r="E258" s="94"/>
    </row>
    <row r="259" spans="2:10">
      <c r="E259" s="94"/>
    </row>
    <row r="260" spans="2:10">
      <c r="E260" s="94"/>
    </row>
    <row r="261" spans="2:10">
      <c r="E261" s="94"/>
    </row>
    <row r="262" spans="2:10">
      <c r="E262" s="94"/>
    </row>
    <row r="263" spans="2:10">
      <c r="E263" s="94"/>
    </row>
    <row r="264" spans="2:10">
      <c r="E264" s="94"/>
    </row>
    <row r="265" spans="2:10">
      <c r="B265" s="17"/>
      <c r="C265" s="17"/>
      <c r="D265" s="17"/>
      <c r="E265" s="95"/>
      <c r="F265" s="17"/>
      <c r="G265" s="17"/>
      <c r="H265" s="17"/>
      <c r="I265" s="17"/>
      <c r="J265" s="17"/>
    </row>
    <row r="266" spans="2:10">
      <c r="E266" s="94"/>
    </row>
    <row r="267" spans="2:10">
      <c r="E267" s="94"/>
    </row>
    <row r="268" spans="2:10">
      <c r="E268" s="94"/>
    </row>
    <row r="269" spans="2:10">
      <c r="E269" s="94"/>
    </row>
    <row r="270" spans="2:10">
      <c r="E270" s="94"/>
    </row>
    <row r="271" spans="2:10">
      <c r="E271" s="94"/>
    </row>
    <row r="272" spans="2:10">
      <c r="E272" s="94"/>
    </row>
    <row r="273" spans="2:10">
      <c r="E273" s="94"/>
    </row>
    <row r="274" spans="2:10">
      <c r="E274" s="94"/>
    </row>
    <row r="275" spans="2:10">
      <c r="E275" s="94"/>
    </row>
    <row r="276" spans="2:10">
      <c r="E276" s="94"/>
    </row>
    <row r="277" spans="2:10">
      <c r="E277" s="94"/>
    </row>
    <row r="278" spans="2:10">
      <c r="E278" s="94"/>
    </row>
    <row r="279" spans="2:10">
      <c r="E279" s="94"/>
    </row>
    <row r="280" spans="2:10">
      <c r="E280" s="94"/>
    </row>
    <row r="281" spans="2:10">
      <c r="E281" s="94"/>
    </row>
    <row r="282" spans="2:10" ht="23.25">
      <c r="B282" s="282" t="s">
        <v>7</v>
      </c>
      <c r="C282" s="17"/>
      <c r="D282" s="17"/>
      <c r="E282" s="95"/>
      <c r="F282" s="17"/>
      <c r="G282" s="17"/>
      <c r="H282" s="17"/>
      <c r="I282" s="17"/>
      <c r="J282" s="17"/>
    </row>
    <row r="283" spans="2:10">
      <c r="E283" s="94"/>
    </row>
    <row r="284" spans="2:10">
      <c r="E284" s="94"/>
    </row>
    <row r="285" spans="2:10">
      <c r="E285" s="94"/>
    </row>
    <row r="286" spans="2:10">
      <c r="E286" s="94"/>
    </row>
    <row r="287" spans="2:10">
      <c r="E287" s="94"/>
    </row>
    <row r="288" spans="2:10">
      <c r="E288" s="94"/>
    </row>
    <row r="289" spans="2:11">
      <c r="E289" s="94"/>
    </row>
    <row r="290" spans="2:11">
      <c r="E290" s="94"/>
    </row>
    <row r="291" spans="2:11">
      <c r="E291" s="94"/>
    </row>
    <row r="292" spans="2:11">
      <c r="E292" s="94"/>
    </row>
    <row r="293" spans="2:11">
      <c r="E293" s="94"/>
    </row>
    <row r="294" spans="2:11">
      <c r="E294" s="94"/>
    </row>
    <row r="295" spans="2:11">
      <c r="E295" s="94"/>
    </row>
    <row r="296" spans="2:11">
      <c r="E296" s="94"/>
    </row>
    <row r="297" spans="2:11">
      <c r="E297" s="94"/>
    </row>
    <row r="298" spans="2:11">
      <c r="E298" s="94"/>
    </row>
    <row r="299" spans="2:11">
      <c r="B299" s="17"/>
      <c r="C299" s="17"/>
      <c r="D299" s="17"/>
      <c r="E299" s="95"/>
      <c r="F299" s="17"/>
      <c r="G299" s="17"/>
      <c r="H299" s="17"/>
      <c r="I299" s="17"/>
      <c r="J299" s="17"/>
    </row>
    <row r="301" spans="2:11" ht="31.5">
      <c r="B301" s="508" t="s">
        <v>8</v>
      </c>
      <c r="C301" s="508"/>
      <c r="D301" s="508"/>
      <c r="E301" s="508"/>
      <c r="F301" s="508"/>
      <c r="G301" s="508"/>
      <c r="H301" s="508"/>
      <c r="I301" s="508"/>
    </row>
    <row r="302" spans="2:11" ht="16.5" customHeight="1">
      <c r="B302" s="23" t="s">
        <v>1</v>
      </c>
      <c r="C302" s="21"/>
      <c r="D302" s="22"/>
      <c r="E302" s="22"/>
      <c r="F302" s="22"/>
      <c r="G302" s="22"/>
      <c r="H302" s="22"/>
      <c r="I302" s="25"/>
      <c r="J302" s="34"/>
    </row>
    <row r="303" spans="2:11">
      <c r="B303" s="509" t="s">
        <v>9</v>
      </c>
      <c r="C303" s="510"/>
      <c r="D303" s="510"/>
      <c r="E303" s="35"/>
      <c r="F303" s="35"/>
      <c r="G303" s="35"/>
      <c r="H303" s="35"/>
      <c r="I303" s="36"/>
      <c r="J303" s="34"/>
      <c r="K303" s="34"/>
    </row>
    <row r="304" spans="2:11">
      <c r="B304" s="90"/>
      <c r="C304" s="91"/>
      <c r="D304" s="91"/>
      <c r="E304" s="37">
        <v>2019</v>
      </c>
      <c r="F304" s="37">
        <v>2020</v>
      </c>
      <c r="G304" s="37">
        <v>2021</v>
      </c>
      <c r="H304" s="37">
        <v>2022</v>
      </c>
      <c r="I304" s="38">
        <v>2023</v>
      </c>
      <c r="J304" s="34"/>
      <c r="K304" s="34"/>
    </row>
    <row r="305" spans="2:11">
      <c r="B305" s="513" t="s">
        <v>10</v>
      </c>
      <c r="C305" s="514"/>
      <c r="D305" s="514"/>
      <c r="E305" s="39">
        <f>BS!B23</f>
        <v>80882982</v>
      </c>
      <c r="F305" s="39">
        <f>BS!C23</f>
        <v>94094979</v>
      </c>
      <c r="G305" s="39">
        <f>BS!D23</f>
        <v>109117393</v>
      </c>
      <c r="H305" s="39">
        <f>BS!E23</f>
        <v>135646085</v>
      </c>
      <c r="I305" s="40">
        <f>BS!F23</f>
        <v>165012666</v>
      </c>
      <c r="J305" s="34"/>
      <c r="K305" s="34"/>
    </row>
    <row r="306" spans="2:11">
      <c r="B306" s="511" t="s">
        <v>11</v>
      </c>
      <c r="C306" s="512"/>
      <c r="D306" s="512"/>
      <c r="E306" s="47">
        <f>BS!B13/BS!B23</f>
        <v>15.117133762452033</v>
      </c>
      <c r="F306" s="47">
        <f>BS!C13/BS!C23</f>
        <v>14.094589382925523</v>
      </c>
      <c r="G306" s="47">
        <f>BS!D13/BS!D23</f>
        <v>12.964684621818265</v>
      </c>
      <c r="H306" s="47">
        <f>BS!E13/BS!E23</f>
        <v>13.371673572444056</v>
      </c>
      <c r="I306" s="48">
        <f>BS!F13/BS!F23</f>
        <v>11.14831511176239</v>
      </c>
      <c r="J306" s="34"/>
      <c r="K306" s="34"/>
    </row>
    <row r="307" spans="2:11">
      <c r="B307" s="515" t="s">
        <v>12</v>
      </c>
      <c r="C307" s="516"/>
      <c r="D307" s="516"/>
      <c r="E307" s="34"/>
      <c r="F307" s="34"/>
      <c r="G307" s="34"/>
      <c r="H307" s="34"/>
      <c r="I307" s="62"/>
      <c r="J307" s="34"/>
      <c r="K307" s="34"/>
    </row>
    <row r="308" spans="2:11">
      <c r="B308" s="90"/>
      <c r="C308" s="91"/>
      <c r="D308" s="91"/>
      <c r="E308" s="37">
        <v>2019</v>
      </c>
      <c r="F308" s="37">
        <v>2020</v>
      </c>
      <c r="G308" s="37">
        <v>2021</v>
      </c>
      <c r="H308" s="37">
        <v>2022</v>
      </c>
      <c r="I308" s="38">
        <v>2023</v>
      </c>
      <c r="J308" s="34"/>
      <c r="K308" s="34"/>
    </row>
    <row r="309" spans="2:11">
      <c r="B309" s="513" t="s">
        <v>13</v>
      </c>
      <c r="C309" s="514"/>
      <c r="D309" s="514"/>
      <c r="E309" s="44">
        <f>CAR!B3</f>
        <v>80343947</v>
      </c>
      <c r="F309" s="44">
        <f>CAR!C3</f>
        <v>93667389</v>
      </c>
      <c r="G309" s="44">
        <f>CAR!D3</f>
        <v>108687714</v>
      </c>
      <c r="H309" s="44">
        <f>CAR!E3</f>
        <v>134749957</v>
      </c>
      <c r="I309" s="45">
        <f>CAR!F3</f>
        <v>164110931</v>
      </c>
      <c r="J309" s="34"/>
      <c r="K309" s="34"/>
    </row>
    <row r="310" spans="2:11">
      <c r="B310" s="513" t="s">
        <v>14</v>
      </c>
      <c r="C310" s="514"/>
      <c r="D310" s="514"/>
      <c r="E310" s="44">
        <f>CAR!B12</f>
        <v>14738247</v>
      </c>
      <c r="F310" s="44">
        <f>CAR!C12</f>
        <v>11814657</v>
      </c>
      <c r="G310" s="44">
        <f>CAR!D12</f>
        <v>12478403</v>
      </c>
      <c r="H310" s="44">
        <f>CAR!E12</f>
        <v>14651330</v>
      </c>
      <c r="I310" s="45">
        <f>CAR!F12</f>
        <v>16720193</v>
      </c>
      <c r="J310" s="34"/>
      <c r="K310" s="34"/>
    </row>
    <row r="311" spans="2:11">
      <c r="B311" s="511" t="s">
        <v>15</v>
      </c>
      <c r="C311" s="512"/>
      <c r="D311" s="512"/>
      <c r="E311" s="49">
        <f>CAR!B39</f>
        <v>9.3356699410758803E-2</v>
      </c>
      <c r="F311" s="49">
        <f>CAR!C39</f>
        <v>9.5606190159060855E-2</v>
      </c>
      <c r="G311" s="49">
        <f>CAR!D39</f>
        <v>9.3130095700845558E-2</v>
      </c>
      <c r="H311" s="49">
        <f>CAR!E39</f>
        <v>9.9506567066239435E-2</v>
      </c>
      <c r="I311" s="50">
        <f>CAR!F39</f>
        <v>0.11392226238887244</v>
      </c>
      <c r="J311" s="34"/>
      <c r="K311" s="34"/>
    </row>
    <row r="312" spans="2:11">
      <c r="B312" s="76" t="s">
        <v>16</v>
      </c>
      <c r="C312" s="85"/>
      <c r="D312" s="85"/>
      <c r="E312" s="74"/>
      <c r="F312" s="74"/>
      <c r="G312" s="74"/>
      <c r="H312" s="74"/>
      <c r="I312" s="75"/>
      <c r="J312" s="34"/>
      <c r="K312" s="34"/>
    </row>
    <row r="313" spans="2:11">
      <c r="B313" s="79"/>
      <c r="C313" s="78"/>
      <c r="D313" s="78"/>
      <c r="E313" s="37">
        <v>2019</v>
      </c>
      <c r="F313" s="37">
        <v>2020</v>
      </c>
      <c r="G313" s="37">
        <v>2021</v>
      </c>
      <c r="H313" s="37">
        <v>2022</v>
      </c>
      <c r="I313" s="38">
        <v>2023</v>
      </c>
      <c r="J313" s="34"/>
      <c r="K313" s="34"/>
    </row>
    <row r="314" spans="2:11">
      <c r="B314" s="88" t="s">
        <v>17</v>
      </c>
      <c r="C314" s="92"/>
      <c r="D314" s="92"/>
      <c r="E314" s="72">
        <v>0.748</v>
      </c>
      <c r="F314" s="72">
        <v>0.748</v>
      </c>
      <c r="G314" s="72">
        <v>0.748</v>
      </c>
      <c r="H314" s="72">
        <v>0.748</v>
      </c>
      <c r="I314" s="73">
        <v>0.748</v>
      </c>
      <c r="J314" s="34"/>
      <c r="K314" s="34"/>
    </row>
    <row r="315" spans="2:11">
      <c r="B315" s="53"/>
      <c r="C315" s="53"/>
      <c r="D315" s="34"/>
      <c r="E315" s="34"/>
      <c r="F315" s="34"/>
      <c r="G315" s="34"/>
      <c r="H315" s="34"/>
      <c r="I315" s="34"/>
      <c r="J315" s="34"/>
      <c r="K315" s="34"/>
    </row>
    <row r="316" spans="2:11" ht="15.75">
      <c r="B316" s="23" t="s">
        <v>2</v>
      </c>
      <c r="C316" s="21"/>
      <c r="D316" s="25"/>
      <c r="E316" s="25"/>
      <c r="F316" s="25"/>
      <c r="G316" s="25"/>
      <c r="H316" s="25"/>
      <c r="I316" s="26"/>
      <c r="J316" s="34"/>
      <c r="K316" s="34"/>
    </row>
    <row r="317" spans="2:11">
      <c r="B317" s="76" t="s">
        <v>18</v>
      </c>
      <c r="C317" s="77"/>
      <c r="D317" s="78"/>
      <c r="E317" s="34"/>
      <c r="F317" s="34"/>
      <c r="G317" s="34"/>
      <c r="H317" s="34"/>
      <c r="I317" s="43"/>
      <c r="J317" s="34"/>
      <c r="K317" s="34"/>
    </row>
    <row r="318" spans="2:11">
      <c r="B318" s="79"/>
      <c r="C318" s="78"/>
      <c r="D318" s="78"/>
      <c r="E318" s="37">
        <v>2019</v>
      </c>
      <c r="F318" s="37">
        <v>2020</v>
      </c>
      <c r="G318" s="37">
        <v>2021</v>
      </c>
      <c r="H318" s="37">
        <v>2022</v>
      </c>
      <c r="I318" s="38">
        <v>2023</v>
      </c>
      <c r="J318" s="34"/>
    </row>
    <row r="319" spans="2:11" ht="19.5" customHeight="1">
      <c r="B319" s="79" t="s">
        <v>19</v>
      </c>
      <c r="C319" s="78"/>
      <c r="D319" s="78"/>
      <c r="E319" s="39">
        <f>BS!B113</f>
        <v>297932821</v>
      </c>
      <c r="F319" s="39">
        <f>BS!C113</f>
        <v>316204412</v>
      </c>
      <c r="G319" s="39">
        <f>BS!D113</f>
        <v>266283023</v>
      </c>
      <c r="H319" s="39">
        <f>BS!E113</f>
        <v>424543787</v>
      </c>
      <c r="I319" s="40">
        <f>BS!F113</f>
        <v>409077959</v>
      </c>
      <c r="J319" s="34"/>
    </row>
    <row r="320" spans="2:11">
      <c r="B320" s="79" t="s">
        <v>20</v>
      </c>
      <c r="C320" s="78"/>
      <c r="D320" s="78"/>
      <c r="E320" s="39">
        <f>BS!B8</f>
        <v>724290102</v>
      </c>
      <c r="F320" s="39">
        <f>BS!C8</f>
        <v>820545467</v>
      </c>
      <c r="G320" s="39">
        <f>BS!D8</f>
        <v>934774287</v>
      </c>
      <c r="H320" s="39">
        <f>BS!E8</f>
        <v>1120286832</v>
      </c>
      <c r="I320" s="39">
        <f>BS!F8</f>
        <v>1241675333</v>
      </c>
      <c r="J320" s="34"/>
    </row>
    <row r="321" spans="2:11">
      <c r="B321" s="79" t="s">
        <v>21</v>
      </c>
      <c r="C321" s="78"/>
      <c r="D321" s="78"/>
      <c r="E321" s="39">
        <f>SUM(BS!B6,BS!B9:B10)</f>
        <v>171795308</v>
      </c>
      <c r="F321" s="39">
        <f>SUM(BS!C6,BS!C9:C10)</f>
        <v>161124164</v>
      </c>
      <c r="G321" s="39">
        <f>SUM(BS!D6,BS!D9:D10)</f>
        <v>175716974</v>
      </c>
      <c r="H321" s="39">
        <f>SUM(BS!E6,BS!E9:E10)</f>
        <v>199864435</v>
      </c>
      <c r="I321" s="40">
        <f>SUM(BS!F6,BS!F9:F10)</f>
        <v>150500420</v>
      </c>
      <c r="J321" s="34"/>
    </row>
    <row r="322" spans="2:11">
      <c r="B322" s="79" t="s">
        <v>22</v>
      </c>
      <c r="C322" s="78"/>
      <c r="D322" s="78"/>
      <c r="E322" s="39">
        <f>BS!B11</f>
        <v>6710443</v>
      </c>
      <c r="F322" s="39">
        <f>BS!C11</f>
        <v>8539362</v>
      </c>
      <c r="G322" s="39">
        <f>BS!D11</f>
        <v>8626043</v>
      </c>
      <c r="H322" s="39">
        <f>BS!E11</f>
        <v>7985400</v>
      </c>
      <c r="I322" s="40">
        <f>BS!F11</f>
        <v>7708181</v>
      </c>
      <c r="J322" s="34"/>
      <c r="K322" s="34"/>
    </row>
    <row r="323" spans="2:11">
      <c r="B323" s="80" t="s">
        <v>23</v>
      </c>
      <c r="C323" s="81"/>
      <c r="D323" s="81"/>
      <c r="E323" s="60">
        <f>BS!B12</f>
        <v>21891872</v>
      </c>
      <c r="F323" s="60">
        <f>BS!C12</f>
        <v>19816687</v>
      </c>
      <c r="G323" s="60">
        <f>BS!D12</f>
        <v>28969058</v>
      </c>
      <c r="H323" s="60">
        <f>BS!E12</f>
        <v>60978201</v>
      </c>
      <c r="I323" s="61">
        <f>BS!F12</f>
        <v>30651305</v>
      </c>
      <c r="J323" s="34"/>
      <c r="K323" s="34"/>
    </row>
    <row r="324" spans="2:11">
      <c r="B324" s="76" t="s">
        <v>24</v>
      </c>
      <c r="C324" s="77"/>
      <c r="D324" s="78"/>
      <c r="E324" s="34"/>
      <c r="F324" s="34"/>
      <c r="G324" s="34"/>
      <c r="H324" s="34"/>
      <c r="I324" s="43"/>
      <c r="J324" s="34"/>
      <c r="K324" s="34"/>
    </row>
    <row r="325" spans="2:11">
      <c r="B325" s="79"/>
      <c r="C325" s="78"/>
      <c r="D325" s="78"/>
      <c r="E325" s="37">
        <v>2019</v>
      </c>
      <c r="F325" s="37">
        <v>2020</v>
      </c>
      <c r="G325" s="37">
        <v>2021</v>
      </c>
      <c r="H325" s="37">
        <v>2022</v>
      </c>
      <c r="I325" s="38">
        <v>2023</v>
      </c>
      <c r="J325" s="34"/>
      <c r="K325" s="34"/>
    </row>
    <row r="326" spans="2:11">
      <c r="B326" s="79" t="s">
        <v>25</v>
      </c>
      <c r="C326" s="78"/>
      <c r="D326" s="78"/>
      <c r="E326" s="58">
        <f>(SUM(BS!B4:B6,BS!B8:B9))/BS!B13</f>
        <v>0.96324299923408885</v>
      </c>
      <c r="F326" s="58">
        <f>(SUM(BS!C4:C6,BS!C8:C9))/BS!C13</f>
        <v>0.96554862593179647</v>
      </c>
      <c r="G326" s="58">
        <f>(SUM(BS!D4:D6,BS!D8:D9))/BS!D13</f>
        <v>0.95881998030120874</v>
      </c>
      <c r="H326" s="58">
        <f>(SUM(BS!E4:E6,BS!E8:E9))/BS!E13</f>
        <v>0.95056707735000368</v>
      </c>
      <c r="I326" s="59">
        <f>(SUM(BS!F4:F6,BS!F8:F9))/BS!F13</f>
        <v>0.97005387868499082</v>
      </c>
      <c r="J326" s="34"/>
      <c r="K326" s="34"/>
    </row>
    <row r="327" spans="2:11">
      <c r="B327" s="80" t="s">
        <v>26</v>
      </c>
      <c r="C327" s="81"/>
      <c r="D327" s="81"/>
      <c r="E327" s="65">
        <v>0.79249999999999998</v>
      </c>
      <c r="F327" s="65">
        <v>0.82180000000000009</v>
      </c>
      <c r="G327" s="65">
        <v>0.86180000000000012</v>
      </c>
      <c r="H327" s="65">
        <v>0.91670000000000007</v>
      </c>
      <c r="I327" s="66">
        <v>0.91659999999999997</v>
      </c>
      <c r="J327" s="34"/>
      <c r="K327" s="34"/>
    </row>
    <row r="328" spans="2:11">
      <c r="B328" s="76" t="s">
        <v>27</v>
      </c>
      <c r="C328" s="77"/>
      <c r="D328" s="78"/>
      <c r="E328" s="34"/>
      <c r="F328" s="34"/>
      <c r="G328" s="34"/>
      <c r="H328" s="34"/>
      <c r="I328" s="43"/>
      <c r="J328" s="34"/>
    </row>
    <row r="329" spans="2:11">
      <c r="B329" s="79"/>
      <c r="C329" s="78"/>
      <c r="D329" s="78"/>
      <c r="E329" s="37">
        <v>2019</v>
      </c>
      <c r="F329" s="37">
        <v>2020</v>
      </c>
      <c r="G329" s="37">
        <v>2021</v>
      </c>
      <c r="H329" s="37">
        <v>2022</v>
      </c>
      <c r="I329" s="38">
        <v>2023</v>
      </c>
      <c r="J329" s="34"/>
    </row>
    <row r="330" spans="2:11">
      <c r="B330" s="79" t="s">
        <v>28</v>
      </c>
      <c r="C330" s="78"/>
      <c r="D330" s="78"/>
      <c r="E330" s="58">
        <f>SUM(BS!B73:B75)/BS!B76</f>
        <v>7.899657769781283E-3</v>
      </c>
      <c r="F330" s="58">
        <f>SUM(BS!C73:C75)/BS!C76</f>
        <v>6.2272470846076759E-3</v>
      </c>
      <c r="G330" s="58">
        <f>SUM(BS!D73:D75)/BS!D76</f>
        <v>6.3711978003683587E-3</v>
      </c>
      <c r="H330" s="58">
        <f>SUM(BS!E73:E75)/BS!E76</f>
        <v>6.8296668424206895E-3</v>
      </c>
      <c r="I330" s="59">
        <f>SUM(BS!F73:F75)/BS!F76</f>
        <v>9.8042890423280325E-3</v>
      </c>
      <c r="J330" s="34"/>
      <c r="K330" s="34"/>
    </row>
    <row r="331" spans="2:11">
      <c r="B331" s="80" t="s">
        <v>29</v>
      </c>
      <c r="C331" s="81"/>
      <c r="D331" s="81"/>
      <c r="E331" s="63">
        <f>BS!B173/SUM(BS!B73:B75)</f>
        <v>1.7947810562251494</v>
      </c>
      <c r="F331" s="63">
        <f>BS!C173/SUM(BS!C73:C75)</f>
        <v>3.67961375019624</v>
      </c>
      <c r="G331" s="63">
        <f>BS!D173/SUM(BS!D73:D75)</f>
        <v>4.2436080408708987</v>
      </c>
      <c r="H331" s="63">
        <f>BS!E173/SUM(BS!E73:E75)</f>
        <v>3.1685529461904927</v>
      </c>
      <c r="I331" s="64">
        <f>BS!F173/SUM(BS!F73:F75)</f>
        <v>2.3029916498373701</v>
      </c>
      <c r="J331" s="34"/>
      <c r="K331" s="34"/>
    </row>
    <row r="332" spans="2:11">
      <c r="B332" s="76" t="s">
        <v>30</v>
      </c>
      <c r="C332" s="77"/>
      <c r="D332" s="78"/>
      <c r="E332" s="34"/>
      <c r="F332" s="34"/>
      <c r="G332" s="34"/>
      <c r="H332" s="34"/>
      <c r="I332" s="43"/>
      <c r="J332" s="34"/>
      <c r="K332" s="34"/>
    </row>
    <row r="333" spans="2:11">
      <c r="B333" s="79"/>
      <c r="C333" s="78"/>
      <c r="D333" s="78"/>
      <c r="E333" s="37">
        <v>2019</v>
      </c>
      <c r="F333" s="37">
        <v>2020</v>
      </c>
      <c r="G333" s="37">
        <v>2021</v>
      </c>
      <c r="H333" s="37">
        <v>2022</v>
      </c>
      <c r="I333" s="38">
        <v>2023</v>
      </c>
      <c r="J333" s="34"/>
    </row>
    <row r="334" spans="2:11">
      <c r="B334" s="79" t="s">
        <v>31</v>
      </c>
      <c r="C334" s="78"/>
      <c r="D334" s="78"/>
      <c r="E334" s="34"/>
      <c r="F334" s="58">
        <f>BS!C8/BS!B8-1</f>
        <v>0.13289614856561993</v>
      </c>
      <c r="G334" s="58">
        <f>BS!D8/BS!C8-1</f>
        <v>0.13921083546732937</v>
      </c>
      <c r="H334" s="58">
        <f>BS!E8/BS!D8-1</f>
        <v>0.19845704741769388</v>
      </c>
      <c r="I334" s="59">
        <f>BS!F8/BS!E8-1</f>
        <v>0.1083548405039183</v>
      </c>
      <c r="J334" s="34"/>
    </row>
    <row r="335" spans="2:11">
      <c r="B335" s="80" t="s">
        <v>32</v>
      </c>
      <c r="C335" s="81"/>
      <c r="D335" s="81"/>
      <c r="F335" s="65">
        <f>'KEY RATIOS'!C32</f>
        <v>2.9520606318159413E-2</v>
      </c>
      <c r="G335" s="65">
        <f>'KEY RATIOS'!D32</f>
        <v>3.2158001302399437E-2</v>
      </c>
      <c r="H335" s="65">
        <f>'KEY RATIOS'!E32</f>
        <v>3.4569245063446677E-2</v>
      </c>
      <c r="I335" s="66">
        <f>'KEY RATIOS'!F32</f>
        <v>3.0564723103545337E-2</v>
      </c>
      <c r="J335" s="34"/>
      <c r="K335" s="34"/>
    </row>
    <row r="336" spans="2:11">
      <c r="B336" s="82" t="s">
        <v>33</v>
      </c>
      <c r="C336" s="83"/>
      <c r="D336" s="84"/>
      <c r="E336" s="55"/>
      <c r="F336" s="55"/>
      <c r="G336" s="55"/>
      <c r="H336" s="55"/>
      <c r="I336" s="62"/>
      <c r="J336" s="34"/>
      <c r="K336" s="34"/>
    </row>
    <row r="337" spans="2:11">
      <c r="B337" s="79"/>
      <c r="C337" s="78"/>
      <c r="D337" s="78"/>
      <c r="E337" s="37">
        <v>2019</v>
      </c>
      <c r="F337" s="37">
        <v>2020</v>
      </c>
      <c r="G337" s="37">
        <v>2021</v>
      </c>
      <c r="H337" s="37">
        <v>2022</v>
      </c>
      <c r="I337" s="38">
        <v>2023</v>
      </c>
      <c r="J337" s="34"/>
      <c r="K337" s="34"/>
    </row>
    <row r="338" spans="2:11">
      <c r="B338" s="79" t="s">
        <v>34</v>
      </c>
      <c r="C338" s="78"/>
      <c r="D338" s="78"/>
      <c r="E338" s="58">
        <f>BS!B59/BS!B$68</f>
        <v>0.23687360515038369</v>
      </c>
      <c r="F338" s="58">
        <f>BS!C59/BS!C$68</f>
        <v>0.21257907414354771</v>
      </c>
      <c r="G338" s="255">
        <f>BS!D59/BS!D$68</f>
        <v>0.21135304554867243</v>
      </c>
      <c r="H338" s="58">
        <f>BS!E59/BS!E$68</f>
        <v>0.21281165784075812</v>
      </c>
      <c r="I338" s="59">
        <f>BS!F59/BS!F$68</f>
        <v>0.22071410052366786</v>
      </c>
      <c r="J338" s="34"/>
    </row>
    <row r="339" spans="2:11">
      <c r="B339" s="79" t="s">
        <v>35</v>
      </c>
      <c r="C339" s="78"/>
      <c r="D339" s="78"/>
      <c r="E339" s="58">
        <f>BS!B60/BS!B$68</f>
        <v>4.1392725959882144E-2</v>
      </c>
      <c r="F339" s="58">
        <f>BS!C60/BS!C$68</f>
        <v>4.8028107647006033E-2</v>
      </c>
      <c r="G339" s="255">
        <f>BS!D60/BS!D$68</f>
        <v>6.225704793293485E-2</v>
      </c>
      <c r="H339" s="58">
        <f>BS!E60/BS!E$68</f>
        <v>5.119000756506447E-2</v>
      </c>
      <c r="I339" s="59">
        <f>BS!F60/BS!F$68</f>
        <v>4.3275171208333171E-2</v>
      </c>
      <c r="J339" s="34"/>
    </row>
    <row r="340" spans="2:11">
      <c r="B340" s="79" t="s">
        <v>36</v>
      </c>
      <c r="C340" s="78"/>
      <c r="D340" s="78"/>
      <c r="E340" s="58">
        <f>BS!B61/BS!B$68</f>
        <v>4.4041470682217948E-2</v>
      </c>
      <c r="F340" s="58">
        <f>BS!C61/BS!C$68</f>
        <v>8.4870827933614085E-2</v>
      </c>
      <c r="G340" s="255">
        <f>BS!D61/BS!D$68</f>
        <v>9.0167812706272776E-2</v>
      </c>
      <c r="H340" s="58">
        <f>BS!E61/BS!E$68</f>
        <v>6.5597900558155481E-2</v>
      </c>
      <c r="I340" s="59">
        <f>BS!F61/BS!F$68</f>
        <v>6.3833154919989712E-2</v>
      </c>
      <c r="J340" s="34"/>
      <c r="K340" s="34"/>
    </row>
    <row r="341" spans="2:11">
      <c r="B341" s="79" t="s">
        <v>37</v>
      </c>
      <c r="C341" s="78"/>
      <c r="D341" s="78"/>
      <c r="E341" s="58">
        <f>BS!B62/BS!B$68</f>
        <v>3.3676836712832739E-2</v>
      </c>
      <c r="F341" s="58">
        <f>BS!C62/BS!C$68</f>
        <v>3.1964740693130503E-2</v>
      </c>
      <c r="G341" s="255">
        <f>BS!D62/BS!D$68</f>
        <v>2.9888464579735527E-2</v>
      </c>
      <c r="H341" s="58">
        <f>BS!E62/BS!E$68</f>
        <v>2.7584022321852558E-2</v>
      </c>
      <c r="I341" s="59">
        <f>BS!F62/BS!F$68</f>
        <v>2.6329699341733646E-2</v>
      </c>
      <c r="J341" s="34"/>
      <c r="K341" s="34"/>
    </row>
    <row r="342" spans="2:11">
      <c r="B342" s="79" t="s">
        <v>38</v>
      </c>
      <c r="C342" s="78"/>
      <c r="D342" s="78"/>
      <c r="E342" s="58">
        <f>BS!B63/BS!B$68</f>
        <v>1.9679741917651348E-2</v>
      </c>
      <c r="F342" s="58">
        <f>BS!C63/BS!C$68</f>
        <v>1.7375398868548844E-2</v>
      </c>
      <c r="G342" s="255">
        <f>BS!D63/BS!D$68</f>
        <v>1.5700352543862466E-2</v>
      </c>
      <c r="H342" s="58">
        <f>BS!E63/BS!E$68</f>
        <v>1.6666294199134766E-2</v>
      </c>
      <c r="I342" s="59">
        <f>BS!F63/BS!F$68</f>
        <v>1.6069011760264453E-2</v>
      </c>
      <c r="J342" s="34"/>
    </row>
    <row r="343" spans="2:11">
      <c r="B343" s="79" t="s">
        <v>39</v>
      </c>
      <c r="C343" s="78"/>
      <c r="D343" s="78"/>
      <c r="E343" s="58">
        <f>BS!B64/BS!B$68</f>
        <v>2.1944296695047605E-2</v>
      </c>
      <c r="F343" s="58">
        <f>BS!C64/BS!C$68</f>
        <v>2.0325596096895191E-2</v>
      </c>
      <c r="G343" s="255">
        <f>BS!D64/BS!D$68</f>
        <v>2.6121512542771858E-2</v>
      </c>
      <c r="H343" s="58">
        <f>BS!E64/BS!E$68</f>
        <v>3.152719678883209E-2</v>
      </c>
      <c r="I343" s="59">
        <f>BS!F64/BS!F$68</f>
        <v>3.0489530480115032E-2</v>
      </c>
      <c r="J343" s="34"/>
    </row>
    <row r="344" spans="2:11">
      <c r="B344" s="79" t="s">
        <v>40</v>
      </c>
      <c r="C344" s="78"/>
      <c r="D344" s="78"/>
      <c r="E344" s="58">
        <f>BS!B65/BS!B$68</f>
        <v>1.7473619966360165E-2</v>
      </c>
      <c r="F344" s="58">
        <f>BS!C65/BS!C$68</f>
        <v>1.2105993227261842E-2</v>
      </c>
      <c r="G344" s="255">
        <f>BS!D65/BS!D$68</f>
        <v>1.7613038555906048E-2</v>
      </c>
      <c r="H344" s="58">
        <f>BS!E65/BS!E$68</f>
        <v>1.5963165450034004E-2</v>
      </c>
      <c r="I344" s="59">
        <f>BS!F65/BS!F$68</f>
        <v>1.5446153191317763E-2</v>
      </c>
      <c r="J344" s="34"/>
      <c r="K344" s="34"/>
    </row>
    <row r="345" spans="2:11">
      <c r="B345" s="79" t="s">
        <v>41</v>
      </c>
      <c r="C345" s="78"/>
      <c r="D345" s="78"/>
      <c r="E345" s="58">
        <f>BS!B66/BS!B$68</f>
        <v>0.17946828131764453</v>
      </c>
      <c r="F345" s="58">
        <f>BS!C66/BS!C$68</f>
        <v>0.24145733444587886</v>
      </c>
      <c r="G345" s="255">
        <f>BS!D66/BS!D$68</f>
        <v>0.1584308531141175</v>
      </c>
      <c r="H345" s="58">
        <f>BS!E66/BS!E$68</f>
        <v>0.16109413669296427</v>
      </c>
      <c r="I345" s="59">
        <f>BS!F66/BS!F$68</f>
        <v>0.16071702574397753</v>
      </c>
      <c r="J345" s="34"/>
      <c r="K345" s="34"/>
    </row>
    <row r="346" spans="2:11">
      <c r="B346" s="80" t="s">
        <v>42</v>
      </c>
      <c r="C346" s="81"/>
      <c r="D346" s="81"/>
      <c r="E346" s="65">
        <f>BS!B67/BS!B$68</f>
        <v>0.40544942159797981</v>
      </c>
      <c r="F346" s="65">
        <f>BS!C67/BS!C$68</f>
        <v>0.33129292694411694</v>
      </c>
      <c r="G346" s="65">
        <f>BS!D67/BS!D$68</f>
        <v>0.38846787247572651</v>
      </c>
      <c r="H346" s="65">
        <f>BS!E67/BS!E$68</f>
        <v>0.41756561858320423</v>
      </c>
      <c r="I346" s="66">
        <f>BS!F67/BS!F$68</f>
        <v>0.42312615283060084</v>
      </c>
      <c r="J346" s="34"/>
      <c r="K346" s="34"/>
    </row>
    <row r="347" spans="2:11">
      <c r="B347" s="76" t="s">
        <v>43</v>
      </c>
      <c r="C347" s="85"/>
      <c r="D347" s="86"/>
      <c r="E347" s="74"/>
      <c r="F347" s="74"/>
      <c r="G347" s="74"/>
      <c r="H347" s="74"/>
      <c r="I347" s="75"/>
      <c r="J347" s="34"/>
      <c r="K347" s="34"/>
    </row>
    <row r="348" spans="2:11">
      <c r="B348" s="87"/>
      <c r="C348" s="77"/>
      <c r="D348" s="77"/>
      <c r="E348" s="37">
        <v>2019</v>
      </c>
      <c r="F348" s="37">
        <v>2020</v>
      </c>
      <c r="G348" s="37">
        <v>2021</v>
      </c>
      <c r="H348" s="37">
        <v>2022</v>
      </c>
      <c r="I348" s="38">
        <v>2023</v>
      </c>
      <c r="J348" s="34"/>
      <c r="K348" s="34"/>
    </row>
    <row r="349" spans="2:11">
      <c r="B349" s="79" t="s">
        <v>44</v>
      </c>
      <c r="C349" s="78"/>
      <c r="D349" s="78"/>
      <c r="E349" s="58">
        <f>BS!B51/BS!B$57</f>
        <v>0.42980620417237925</v>
      </c>
      <c r="F349" s="58">
        <f>BS!C51/BS!C$57</f>
        <v>0.45338998135864633</v>
      </c>
      <c r="G349" s="58">
        <f>BS!D51/BS!D$57</f>
        <v>0.46640954045113642</v>
      </c>
      <c r="H349" s="58">
        <f>BS!E51/BS!E$57</f>
        <v>0.47189389784215541</v>
      </c>
      <c r="I349" s="59">
        <f>BS!F51/BS!F$57</f>
        <v>0.44580010924124441</v>
      </c>
      <c r="J349" s="34"/>
      <c r="K349" s="34"/>
    </row>
    <row r="350" spans="2:11">
      <c r="B350" s="80" t="s">
        <v>45</v>
      </c>
      <c r="C350" s="81"/>
      <c r="D350" s="81"/>
      <c r="E350" s="49">
        <f>1-E349</f>
        <v>0.57019379582762075</v>
      </c>
      <c r="F350" s="49">
        <f t="shared" ref="F350:I350" si="0">1-F349</f>
        <v>0.54661001864135361</v>
      </c>
      <c r="G350" s="49">
        <f t="shared" si="0"/>
        <v>0.53359045954886364</v>
      </c>
      <c r="H350" s="49">
        <f t="shared" si="0"/>
        <v>0.52810610215784459</v>
      </c>
      <c r="I350" s="50">
        <f t="shared" si="0"/>
        <v>0.55419989075875553</v>
      </c>
      <c r="J350" s="34"/>
      <c r="K350" s="34"/>
    </row>
    <row r="351" spans="2:11">
      <c r="B351" s="76" t="s">
        <v>46</v>
      </c>
      <c r="C351" s="77"/>
      <c r="D351" s="78"/>
      <c r="E351" s="34"/>
      <c r="F351" s="34"/>
      <c r="G351" s="34"/>
      <c r="H351" s="34"/>
      <c r="I351" s="43"/>
      <c r="J351" s="34"/>
      <c r="K351" s="34"/>
    </row>
    <row r="352" spans="2:11">
      <c r="B352" s="79"/>
      <c r="C352" s="78"/>
      <c r="D352" s="78"/>
      <c r="E352" s="37">
        <v>2019</v>
      </c>
      <c r="F352" s="37">
        <v>2020</v>
      </c>
      <c r="G352" s="37">
        <v>2021</v>
      </c>
      <c r="H352" s="37">
        <v>2022</v>
      </c>
      <c r="I352" s="38">
        <v>2023</v>
      </c>
      <c r="J352" s="34"/>
      <c r="K352" s="34"/>
    </row>
    <row r="353" spans="2:12">
      <c r="B353" s="79" t="str">
        <f>BS!A104</f>
        <v>Chứng khoán kinh doanh</v>
      </c>
      <c r="C353" s="78"/>
      <c r="D353" s="78"/>
      <c r="E353" s="58">
        <f>BS!B104/SUM(BS!B$104:B$107)</f>
        <v>1.045731371472601E-2</v>
      </c>
      <c r="F353" s="58">
        <f>BS!C104/SUM(BS!C$104:C$107)</f>
        <v>1.2082657239899458E-2</v>
      </c>
      <c r="G353" s="58">
        <f>BS!D104/SUM(BS!D$104:D$107)</f>
        <v>1.5726082855520778E-2</v>
      </c>
      <c r="H353" s="58">
        <f>BS!E104/SUM(BS!E$104:E$107)</f>
        <v>7.5004500709160522E-3</v>
      </c>
      <c r="I353" s="59">
        <f>BS!F104/SUM(BS!F$104:F$107)</f>
        <v>1.6568390236725246E-2</v>
      </c>
      <c r="J353" s="34"/>
      <c r="K353" s="34"/>
    </row>
    <row r="354" spans="2:12">
      <c r="B354" s="79" t="str">
        <f>BS!A105</f>
        <v>Chứng khoán sẵn sàng bán</v>
      </c>
      <c r="C354" s="78"/>
      <c r="D354" s="78"/>
      <c r="E354" s="58">
        <f>BS!B105/SUM(BS!B$104:B$107)</f>
        <v>0.20726844399572167</v>
      </c>
      <c r="F354" s="58">
        <f>BS!C105/SUM(BS!C$104:C$107)</f>
        <v>0.26062127949713376</v>
      </c>
      <c r="G354" s="58">
        <f>BS!D105/SUM(BS!D$104:D$107)</f>
        <v>0.40435239797864797</v>
      </c>
      <c r="H354" s="58">
        <f>BS!E105/SUM(BS!E$104:E$107)</f>
        <v>0.50383370996451904</v>
      </c>
      <c r="I354" s="59">
        <f>BS!F105/SUM(BS!F$104:F$107)</f>
        <v>0.45070923026482912</v>
      </c>
      <c r="J354" s="34"/>
    </row>
    <row r="355" spans="2:12">
      <c r="B355" s="79" t="str">
        <f>BS!A106</f>
        <v>Chứng khoán giữ đến ngày đáo hạn</v>
      </c>
      <c r="C355" s="78"/>
      <c r="D355" s="78"/>
      <c r="E355" s="58">
        <f>BS!B106/SUM(BS!B$104:B$107)</f>
        <v>0.76796542855373029</v>
      </c>
      <c r="F355" s="58">
        <f>BS!C106/SUM(BS!C$104:C$107)</f>
        <v>0.71345148929312741</v>
      </c>
      <c r="G355" s="58">
        <f>BS!D106/SUM(BS!D$104:D$107)</f>
        <v>0.56658281671579713</v>
      </c>
      <c r="H355" s="58">
        <f>BS!E106/SUM(BS!E$104:E$107)</f>
        <v>0.47769521759715966</v>
      </c>
      <c r="I355" s="59">
        <f>BS!F106/SUM(BS!F$104:F$107)</f>
        <v>0.5179497423123619</v>
      </c>
      <c r="J355" s="34"/>
      <c r="L355" s="490"/>
    </row>
    <row r="356" spans="2:12">
      <c r="B356" s="80" t="str">
        <f>BS!A107</f>
        <v>Góp vốn, đầu tư dài hạn khác</v>
      </c>
      <c r="C356" s="81"/>
      <c r="D356" s="81"/>
      <c r="E356" s="65">
        <f>BS!B107/SUM(BS!B$104:B$107)</f>
        <v>1.4308813735822063E-2</v>
      </c>
      <c r="F356" s="65">
        <f>BS!C107/SUM(BS!C$104:C$107)</f>
        <v>1.3844573969839388E-2</v>
      </c>
      <c r="G356" s="65">
        <f>BS!D107/SUM(BS!D$104:D$107)</f>
        <v>1.3338702450034061E-2</v>
      </c>
      <c r="H356" s="65">
        <f>BS!E107/SUM(BS!E$104:E$107)</f>
        <v>1.0970622367405227E-2</v>
      </c>
      <c r="I356" s="66">
        <f>BS!F107/SUM(BS!F$104:F$107)</f>
        <v>1.4772637186083659E-2</v>
      </c>
      <c r="J356" s="34"/>
      <c r="K356" s="34"/>
    </row>
    <row r="357" spans="2:12">
      <c r="B357" s="76" t="s">
        <v>47</v>
      </c>
      <c r="C357" s="78"/>
      <c r="D357" s="78"/>
      <c r="E357" s="58"/>
      <c r="F357" s="58"/>
      <c r="G357" s="58"/>
      <c r="H357" s="58"/>
      <c r="I357" s="59"/>
      <c r="J357" s="34"/>
      <c r="K357" s="34"/>
    </row>
    <row r="358" spans="2:12">
      <c r="B358" s="79" t="s">
        <v>48</v>
      </c>
      <c r="C358" s="78"/>
      <c r="D358" s="78"/>
      <c r="E358" s="58"/>
      <c r="F358" s="58">
        <f>'KEY RATIOS'!C34</f>
        <v>2.8453433341699294E-2</v>
      </c>
      <c r="G358" s="58">
        <f>-IS!D4*2/(SUM(BS!C16:C21)+SUM(BS!D16:D21))</f>
        <v>2.2953791466495715E-2</v>
      </c>
      <c r="H358" s="58">
        <f>-IS!E4*2/(SUM(BS!D16:D21)+SUM(BS!E16:E21))</f>
        <v>2.4548658915024359E-2</v>
      </c>
      <c r="I358" s="59">
        <f>-IS!F4*2/(SUM(BS!E16:E21)+SUM(BS!F16:F21))</f>
        <v>3.4064727278185901E-2</v>
      </c>
      <c r="J358" s="34"/>
      <c r="K358" s="34"/>
    </row>
    <row r="359" spans="2:12">
      <c r="B359" s="79" t="s">
        <v>49</v>
      </c>
      <c r="C359" s="78"/>
      <c r="D359" s="78"/>
      <c r="E359" s="58"/>
      <c r="F359" s="58">
        <f>'KEY RATIOS'!C33</f>
        <v>5.6302901257582236E-2</v>
      </c>
      <c r="G359" s="58">
        <f>IS!D3*2/(BS!C5+BS!C8+BS!D5+BS!D8)</f>
        <v>6.2914455348913378E-2</v>
      </c>
      <c r="H359" s="58">
        <f>IS!E3*2/(BS!D5+BS!D8+BS!E5+BS!E8)</f>
        <v>6.792364839904147E-2</v>
      </c>
      <c r="I359" s="59">
        <f>IS!F3*2/(BS!E5+BS!E8+BS!F5+BS!F8)</f>
        <v>7.1792715334704757E-2</v>
      </c>
      <c r="J359" s="34"/>
      <c r="K359" s="34"/>
    </row>
    <row r="360" spans="2:12">
      <c r="B360" s="79"/>
      <c r="C360" s="78"/>
      <c r="D360" s="78"/>
      <c r="E360" s="58"/>
      <c r="F360" s="58"/>
      <c r="G360" s="58"/>
      <c r="H360" s="58"/>
      <c r="I360" s="59"/>
      <c r="J360" s="34"/>
      <c r="K360" s="34"/>
    </row>
    <row r="361" spans="2:12">
      <c r="B361" s="76" t="s">
        <v>50</v>
      </c>
      <c r="C361" s="77"/>
      <c r="D361" s="78"/>
      <c r="E361" s="34"/>
      <c r="F361" s="34"/>
      <c r="G361" s="34"/>
      <c r="H361" s="34"/>
      <c r="I361" s="43"/>
      <c r="J361" s="34"/>
      <c r="K361" s="34"/>
    </row>
    <row r="362" spans="2:12">
      <c r="B362" s="79"/>
      <c r="C362" s="78"/>
      <c r="D362" s="78"/>
      <c r="E362" s="37">
        <v>2019</v>
      </c>
      <c r="F362" s="37">
        <v>2020</v>
      </c>
      <c r="G362" s="37">
        <v>2021</v>
      </c>
      <c r="H362" s="37">
        <v>2022</v>
      </c>
      <c r="I362" s="38">
        <v>2023</v>
      </c>
      <c r="J362" s="34"/>
      <c r="K362" s="34"/>
    </row>
    <row r="363" spans="2:12">
      <c r="B363" s="79" t="s">
        <v>51</v>
      </c>
      <c r="C363" s="78"/>
      <c r="D363" s="78"/>
      <c r="E363" s="44">
        <f>IS!B9+IS!B10+IS!B14</f>
        <v>398118</v>
      </c>
      <c r="F363" s="44">
        <f>IS!C9+IS!C10+IS!C14</f>
        <v>463097</v>
      </c>
      <c r="G363" s="44">
        <f>IS!D9+IS!D10+IS!D14</f>
        <v>148798</v>
      </c>
      <c r="H363" s="44">
        <f>IS!E9+IS!E10+IS!E14</f>
        <v>174837</v>
      </c>
      <c r="I363" s="45">
        <f>IS!F9+IS!F10+IS!F14</f>
        <v>390673</v>
      </c>
      <c r="J363" s="34"/>
    </row>
    <row r="364" spans="2:12">
      <c r="B364" s="88" t="s">
        <v>52</v>
      </c>
      <c r="C364" s="89"/>
      <c r="D364" s="89"/>
      <c r="E364" s="46"/>
      <c r="F364" s="256">
        <f>F363*2/(BS!C6+BS!C9+BS!C10)</f>
        <v>5.7483246274593553E-3</v>
      </c>
      <c r="G364" s="256">
        <f>G363*2/(BS!D6+BS!D9+BS!D10)</f>
        <v>1.6936098615037611E-3</v>
      </c>
      <c r="H364" s="256">
        <f>H363*2/(BS!E6+BS!E9+BS!E10)</f>
        <v>1.749555892722985E-3</v>
      </c>
      <c r="I364" s="257">
        <f>I363*2/(BS!F6+BS!F9+BS!F10)</f>
        <v>5.1916532857516282E-3</v>
      </c>
      <c r="J364" s="34"/>
    </row>
    <row r="365" spans="2:12">
      <c r="B365" s="34"/>
      <c r="C365" s="34"/>
      <c r="D365" s="34"/>
      <c r="E365" s="34"/>
      <c r="F365" s="34"/>
      <c r="G365" s="34"/>
      <c r="H365" s="34"/>
      <c r="I365" s="34"/>
      <c r="J365" s="34"/>
      <c r="K365" s="34"/>
    </row>
    <row r="366" spans="2:12" ht="15.75">
      <c r="B366" s="23" t="s">
        <v>3</v>
      </c>
      <c r="C366" s="26"/>
      <c r="D366" s="25"/>
      <c r="E366" s="25"/>
      <c r="F366" s="25"/>
      <c r="G366" s="25"/>
      <c r="H366" s="25"/>
      <c r="I366" s="25"/>
      <c r="J366" s="34"/>
      <c r="K366" s="34"/>
    </row>
    <row r="367" spans="2:12">
      <c r="B367" s="509" t="s">
        <v>53</v>
      </c>
      <c r="C367" s="510"/>
      <c r="D367" s="510"/>
      <c r="E367" s="35"/>
      <c r="F367" s="35"/>
      <c r="G367" s="35"/>
      <c r="H367" s="35"/>
      <c r="I367" s="36"/>
      <c r="J367" s="34"/>
      <c r="K367" s="34"/>
    </row>
    <row r="368" spans="2:12">
      <c r="B368" s="79"/>
      <c r="C368" s="78"/>
      <c r="D368" s="78"/>
      <c r="E368" s="37">
        <v>2019</v>
      </c>
      <c r="F368" s="37">
        <v>2020</v>
      </c>
      <c r="G368" s="37">
        <v>2021</v>
      </c>
      <c r="H368" s="37">
        <v>2022</v>
      </c>
      <c r="I368" s="38">
        <v>2023</v>
      </c>
      <c r="J368" s="34"/>
      <c r="K368" s="34"/>
    </row>
    <row r="369" spans="2:11">
      <c r="B369" s="79" t="str">
        <f>BS!A16</f>
        <v>Các khoản nợ Chính phủ và NHNN</v>
      </c>
      <c r="C369" s="78"/>
      <c r="D369" s="78"/>
      <c r="E369" s="39">
        <f>BS!B16</f>
        <v>92365806</v>
      </c>
      <c r="F369" s="39">
        <f>BS!C16</f>
        <v>41176995</v>
      </c>
      <c r="G369" s="39">
        <f>BS!D16</f>
        <v>9468116</v>
      </c>
      <c r="H369" s="39">
        <f>BS!E16</f>
        <v>67314816</v>
      </c>
      <c r="I369" s="40">
        <f>BS!F16</f>
        <v>1670837</v>
      </c>
      <c r="J369" s="34"/>
      <c r="K369" s="34"/>
    </row>
    <row r="370" spans="2:11">
      <c r="B370" s="79" t="str">
        <f>BS!A17</f>
        <v>Tiền gửi và vay các TCTD khác</v>
      </c>
      <c r="C370" s="78"/>
      <c r="D370" s="78"/>
      <c r="E370" s="39">
        <f>BS!B17</f>
        <v>73617085</v>
      </c>
      <c r="F370" s="39">
        <f>BS!C17</f>
        <v>103583833</v>
      </c>
      <c r="G370" s="39">
        <f>BS!D17</f>
        <v>109757777</v>
      </c>
      <c r="H370" s="39">
        <f>BS!E17</f>
        <v>232510850</v>
      </c>
      <c r="I370" s="40">
        <f>BS!F17</f>
        <v>213838980</v>
      </c>
      <c r="J370" s="34"/>
      <c r="K370" s="34"/>
    </row>
    <row r="371" spans="2:11">
      <c r="B371" s="79" t="str">
        <f>BS!A18</f>
        <v>Tiền gửi của khách hàng</v>
      </c>
      <c r="C371" s="78"/>
      <c r="D371" s="78"/>
      <c r="E371" s="39">
        <f>BS!B18</f>
        <v>928450869</v>
      </c>
      <c r="F371" s="39">
        <f>BS!C18</f>
        <v>1032113567</v>
      </c>
      <c r="G371" s="39">
        <f>BS!D18</f>
        <v>1135323913</v>
      </c>
      <c r="H371" s="39">
        <f>BS!E18</f>
        <v>1243468471</v>
      </c>
      <c r="I371" s="40">
        <f>BS!F18</f>
        <v>1395697611</v>
      </c>
      <c r="J371" s="34"/>
      <c r="K371" s="34"/>
    </row>
    <row r="372" spans="2:11">
      <c r="B372" s="79" t="s">
        <v>54</v>
      </c>
      <c r="C372" s="78"/>
      <c r="D372" s="78"/>
      <c r="E372" s="44">
        <f>BS!B20</f>
        <v>20431</v>
      </c>
      <c r="F372" s="44">
        <f>BS!C20</f>
        <v>14679</v>
      </c>
      <c r="G372" s="44">
        <f>BS!D20</f>
        <v>7707</v>
      </c>
      <c r="H372" s="44">
        <f>BS!E20</f>
        <v>3298</v>
      </c>
      <c r="I372" s="45">
        <f>BS!F20</f>
        <v>365</v>
      </c>
      <c r="J372" s="34"/>
      <c r="K372" s="34"/>
    </row>
    <row r="373" spans="2:11">
      <c r="B373" s="80" t="s">
        <v>55</v>
      </c>
      <c r="C373" s="81"/>
      <c r="D373" s="81"/>
      <c r="E373" s="51">
        <f>BS!B21</f>
        <v>21383932</v>
      </c>
      <c r="F373" s="51">
        <f>BS!C21</f>
        <v>21240197</v>
      </c>
      <c r="G373" s="51">
        <f>BS!D21</f>
        <v>17387747</v>
      </c>
      <c r="H373" s="51">
        <f>BS!E21</f>
        <v>25337894</v>
      </c>
      <c r="I373" s="52">
        <f>BS!F21</f>
        <v>19912623</v>
      </c>
      <c r="J373" s="34"/>
      <c r="K373" s="34"/>
    </row>
    <row r="374" spans="2:11">
      <c r="B374" s="509" t="s">
        <v>56</v>
      </c>
      <c r="C374" s="510"/>
      <c r="D374" s="510"/>
      <c r="E374" s="44"/>
      <c r="F374" s="44"/>
      <c r="G374" s="44"/>
      <c r="H374" s="44"/>
      <c r="I374" s="45"/>
      <c r="J374" s="34"/>
      <c r="K374" s="34"/>
    </row>
    <row r="375" spans="2:11">
      <c r="B375" s="79"/>
      <c r="C375" s="78"/>
      <c r="D375" s="78"/>
      <c r="E375" s="37">
        <v>2019</v>
      </c>
      <c r="F375" s="37">
        <v>2020</v>
      </c>
      <c r="G375" s="37">
        <v>2021</v>
      </c>
      <c r="H375" s="37">
        <v>2022</v>
      </c>
      <c r="I375" s="38">
        <v>2023</v>
      </c>
      <c r="J375" s="34"/>
      <c r="K375" s="34"/>
    </row>
    <row r="376" spans="2:11">
      <c r="B376" s="79" t="s">
        <v>57</v>
      </c>
      <c r="C376" s="78"/>
      <c r="D376" s="78"/>
      <c r="E376" s="56">
        <f>BS!B18/BS!B$13</f>
        <v>0.75933307393219251</v>
      </c>
      <c r="F376" s="56">
        <f>BS!C18/BS!C$13</f>
        <v>0.77823114799298343</v>
      </c>
      <c r="G376" s="56">
        <f>BS!D18/BS!D$13</f>
        <v>0.8025347514562392</v>
      </c>
      <c r="H376" s="56">
        <f>BS!E18/BS!E$13</f>
        <v>0.68555412456937381</v>
      </c>
      <c r="I376" s="57">
        <f>BS!F18/BS!F$13</f>
        <v>0.75869080115177556</v>
      </c>
      <c r="J376" s="34"/>
      <c r="K376" s="34"/>
    </row>
    <row r="377" spans="2:11">
      <c r="B377" s="79" t="s">
        <v>58</v>
      </c>
      <c r="C377" s="78"/>
      <c r="D377" s="78"/>
      <c r="E377" s="56">
        <f>BS!B17/BS!B$13</f>
        <v>6.0207695757972843E-2</v>
      </c>
      <c r="F377" s="56">
        <f>BS!C17/BS!C$13</f>
        <v>7.8103968251687056E-2</v>
      </c>
      <c r="G377" s="56">
        <f>BS!D17/BS!D$13</f>
        <v>7.7585285817092037E-2</v>
      </c>
      <c r="H377" s="56">
        <f>BS!E17/BS!E$13</f>
        <v>0.1281888330441078</v>
      </c>
      <c r="I377" s="57">
        <f>BS!F17/BS!F$13</f>
        <v>0.11624127302004712</v>
      </c>
      <c r="J377" s="34"/>
      <c r="K377" s="34"/>
    </row>
    <row r="378" spans="2:11">
      <c r="B378" s="509" t="s">
        <v>59</v>
      </c>
      <c r="C378" s="510"/>
      <c r="D378" s="510"/>
      <c r="E378" s="44"/>
      <c r="F378" s="44"/>
      <c r="G378" s="44"/>
      <c r="H378" s="44"/>
      <c r="I378" s="45"/>
      <c r="J378" s="34"/>
      <c r="K378" s="34"/>
    </row>
    <row r="379" spans="2:11">
      <c r="B379" s="79"/>
      <c r="C379" s="78"/>
      <c r="D379" s="78"/>
      <c r="E379" s="37">
        <v>2019</v>
      </c>
      <c r="F379" s="37">
        <v>2020</v>
      </c>
      <c r="G379" s="37">
        <v>2021</v>
      </c>
      <c r="H379" s="37">
        <v>2022</v>
      </c>
      <c r="I379" s="38">
        <v>2023</v>
      </c>
      <c r="J379" s="34"/>
      <c r="K379" s="34"/>
    </row>
    <row r="380" spans="2:11">
      <c r="B380" s="79" t="s">
        <v>45</v>
      </c>
      <c r="C380" s="78"/>
      <c r="D380" s="78"/>
      <c r="E380" s="56">
        <f>BS!B89/BS!B$91</f>
        <v>0.49718186326561564</v>
      </c>
      <c r="F380" s="56">
        <f>BS!C89/BS!C$91</f>
        <v>0.50607324397277298</v>
      </c>
      <c r="G380" s="56">
        <f>BS!D89/BS!D$91</f>
        <v>0.50155137972505648</v>
      </c>
      <c r="H380" s="56">
        <f>BS!E89/BS!E$91</f>
        <v>0.51253176245592158</v>
      </c>
      <c r="I380" s="57">
        <f>BS!F89/BS!F$91</f>
        <v>0.50231288315933076</v>
      </c>
      <c r="J380" s="34"/>
      <c r="K380" s="34"/>
    </row>
    <row r="381" spans="2:11">
      <c r="B381" s="79" t="s">
        <v>60</v>
      </c>
      <c r="C381" s="78"/>
      <c r="D381" s="78"/>
      <c r="E381" s="56">
        <f>BS!B90/BS!B$91</f>
        <v>0.50281813673438436</v>
      </c>
      <c r="F381" s="56">
        <f>BS!C90/BS!C$91</f>
        <v>0.49392675602722697</v>
      </c>
      <c r="G381" s="56">
        <f>BS!D90/BS!D$91</f>
        <v>0.49844862027494352</v>
      </c>
      <c r="H381" s="56">
        <f>BS!E90/BS!E$91</f>
        <v>0.48746823754407842</v>
      </c>
      <c r="I381" s="57">
        <f>BS!F90/BS!F$91</f>
        <v>0.4976871168406693</v>
      </c>
      <c r="J381" s="34"/>
      <c r="K381" s="34"/>
    </row>
    <row r="382" spans="2:11">
      <c r="B382" s="509" t="s">
        <v>61</v>
      </c>
      <c r="C382" s="510"/>
      <c r="D382" s="510"/>
      <c r="E382" s="58"/>
      <c r="F382" s="58"/>
      <c r="G382" s="58"/>
      <c r="H382" s="58"/>
      <c r="I382" s="59"/>
      <c r="J382" s="34"/>
      <c r="K382" s="34"/>
    </row>
    <row r="383" spans="2:11">
      <c r="B383" s="79"/>
      <c r="C383" s="78"/>
      <c r="D383" s="78"/>
      <c r="E383" s="37">
        <v>2019</v>
      </c>
      <c r="F383" s="37">
        <v>2020</v>
      </c>
      <c r="G383" s="37">
        <v>2021</v>
      </c>
      <c r="H383" s="37">
        <v>2022</v>
      </c>
      <c r="I383" s="38">
        <v>2023</v>
      </c>
      <c r="J383" s="34"/>
      <c r="K383" s="34"/>
    </row>
    <row r="384" spans="2:11">
      <c r="B384" s="79" t="s">
        <v>61</v>
      </c>
      <c r="C384" s="78"/>
      <c r="D384" s="78"/>
      <c r="E384" s="58">
        <f>(BS!B83+BS!B86)/BS!B$87</f>
        <v>0.28512126041211128</v>
      </c>
      <c r="F384" s="58">
        <f>(BS!C83+BS!C86)/BS!C$87</f>
        <v>0.30150073785436443</v>
      </c>
      <c r="G384" s="58">
        <f>(BS!D83+BS!D86)/BS!D$87</f>
        <v>0.32894438734507658</v>
      </c>
      <c r="H384" s="58">
        <f>(BS!E83+BS!E86)/BS!E$87</f>
        <v>0.33129285752513465</v>
      </c>
      <c r="I384" s="59">
        <f>(BS!F83+BS!F86)/BS!F$87</f>
        <v>0.33899327280570951</v>
      </c>
      <c r="J384" s="34"/>
      <c r="K384" s="34"/>
    </row>
    <row r="385" spans="2:11">
      <c r="B385" s="79"/>
      <c r="C385" s="78"/>
      <c r="D385" s="78"/>
      <c r="E385" s="58"/>
      <c r="F385" s="58"/>
      <c r="G385" s="58"/>
      <c r="H385" s="58"/>
      <c r="I385" s="59"/>
      <c r="J385" s="34"/>
      <c r="K385" s="34"/>
    </row>
    <row r="386" spans="2:11">
      <c r="B386" s="82" t="s">
        <v>62</v>
      </c>
      <c r="C386" s="83"/>
      <c r="D386" s="83"/>
      <c r="E386" s="55"/>
      <c r="F386" s="55"/>
      <c r="G386" s="55"/>
      <c r="H386" s="55"/>
      <c r="I386" s="62"/>
      <c r="J386" s="34"/>
      <c r="K386" s="34"/>
    </row>
    <row r="387" spans="2:11">
      <c r="B387" s="79"/>
      <c r="C387" s="78"/>
      <c r="D387" s="78"/>
      <c r="E387" s="37">
        <v>2019</v>
      </c>
      <c r="F387" s="37">
        <v>2020</v>
      </c>
      <c r="G387" s="37">
        <v>2021</v>
      </c>
      <c r="H387" s="37">
        <v>2022</v>
      </c>
      <c r="I387" s="38">
        <v>2023</v>
      </c>
      <c r="J387" s="34"/>
      <c r="K387" s="34"/>
    </row>
    <row r="388" spans="2:11">
      <c r="B388" s="79" t="str">
        <f>BS!A95</f>
        <v>Dưới 1 tháng</v>
      </c>
      <c r="C388" s="78"/>
      <c r="D388" s="78"/>
      <c r="E388" s="56"/>
      <c r="F388" s="56">
        <f>BS!C95/BS!C$100</f>
        <v>0.25969627138909607</v>
      </c>
      <c r="G388" s="56">
        <f>BS!D95/BS!D$100</f>
        <v>0.24916467605487669</v>
      </c>
      <c r="H388" s="56">
        <f>BS!E95/BS!E$100</f>
        <v>0.24018268419252209</v>
      </c>
      <c r="I388" s="57">
        <f>BS!F95/BS!F$100</f>
        <v>0.55341292852494939</v>
      </c>
      <c r="J388" s="34"/>
      <c r="K388" s="34"/>
    </row>
    <row r="389" spans="2:11">
      <c r="B389" s="79" t="str">
        <f>BS!A96</f>
        <v>Từ 1-3 tháng</v>
      </c>
      <c r="C389" s="78"/>
      <c r="D389" s="78"/>
      <c r="E389" s="56"/>
      <c r="F389" s="56">
        <f>BS!C96/BS!C$100</f>
        <v>0.19414174893798292</v>
      </c>
      <c r="G389" s="56">
        <f>BS!D96/BS!D$100</f>
        <v>0.16448388681125226</v>
      </c>
      <c r="H389" s="56">
        <f>BS!E96/BS!E$100</f>
        <v>0.14712263415667196</v>
      </c>
      <c r="I389" s="57">
        <f>BS!F96/BS!F$100</f>
        <v>0.14855544641778373</v>
      </c>
      <c r="J389" s="34"/>
      <c r="K389" s="34"/>
    </row>
    <row r="390" spans="2:11">
      <c r="B390" s="79" t="str">
        <f>BS!A97</f>
        <v>Từ 3-12 tháng</v>
      </c>
      <c r="C390" s="78"/>
      <c r="D390" s="78"/>
      <c r="E390" s="56"/>
      <c r="F390" s="56">
        <f>BS!C97/BS!C$100</f>
        <v>0.29429898386366238</v>
      </c>
      <c r="G390" s="56">
        <f>BS!D97/BS!D$100</f>
        <v>0.28392247561159228</v>
      </c>
      <c r="H390" s="56">
        <f>BS!E97/BS!E$100</f>
        <v>0.34188738936288537</v>
      </c>
      <c r="I390" s="57">
        <f>BS!F97/BS!F$100</f>
        <v>0.29292896796891049</v>
      </c>
      <c r="J390" s="34"/>
      <c r="K390" s="34"/>
    </row>
    <row r="391" spans="2:11">
      <c r="B391" s="79" t="str">
        <f>BS!A98</f>
        <v>Từ 1-5 năm</v>
      </c>
      <c r="C391" s="78"/>
      <c r="D391" s="78"/>
      <c r="E391" s="56"/>
      <c r="F391" s="56">
        <f>BS!C98/BS!C$100</f>
        <v>5.4343729986062669E-2</v>
      </c>
      <c r="G391" s="56">
        <f>BS!D98/BS!D$100</f>
        <v>4.0806367653774593E-2</v>
      </c>
      <c r="H391" s="56">
        <f>BS!E98/BS!E$100</f>
        <v>8.4551560332392819E-2</v>
      </c>
      <c r="I391" s="57">
        <f>BS!F98/BS!F$100</f>
        <v>5.0820465624051908E-3</v>
      </c>
      <c r="J391" s="34"/>
      <c r="K391" s="34"/>
    </row>
    <row r="392" spans="2:11">
      <c r="B392" s="80" t="str">
        <f>BS!A99</f>
        <v>Trên 5 năm</v>
      </c>
      <c r="C392" s="81"/>
      <c r="D392" s="81"/>
      <c r="E392" s="63"/>
      <c r="F392" s="63">
        <f>BS!C99/BS!C$100</f>
        <v>0.19751926582319598</v>
      </c>
      <c r="G392" s="63">
        <f>BS!D99/BS!D$100</f>
        <v>0.26162259386850423</v>
      </c>
      <c r="H392" s="63">
        <f>BS!E99/BS!E$100</f>
        <v>0.18625573195552775</v>
      </c>
      <c r="I392" s="64">
        <f>BS!F99/BS!F$100</f>
        <v>2.0610525951224726E-5</v>
      </c>
      <c r="J392" s="34"/>
      <c r="K392" s="34"/>
    </row>
    <row r="393" spans="2:11">
      <c r="B393" s="34"/>
      <c r="C393" s="34"/>
      <c r="D393" s="34"/>
      <c r="E393" s="34"/>
      <c r="F393" s="34"/>
      <c r="G393" s="34"/>
      <c r="H393" s="34"/>
      <c r="I393" s="34"/>
      <c r="J393" s="34"/>
      <c r="K393" s="34"/>
    </row>
    <row r="394" spans="2:11">
      <c r="B394" s="34"/>
      <c r="C394" s="34"/>
      <c r="D394" s="34"/>
      <c r="E394" s="34"/>
      <c r="F394" s="34"/>
      <c r="G394" s="34"/>
      <c r="H394" s="34"/>
      <c r="I394" s="34"/>
      <c r="J394" s="34"/>
      <c r="K394" s="34"/>
    </row>
    <row r="395" spans="2:11" ht="15.75">
      <c r="B395" s="23" t="s">
        <v>4</v>
      </c>
      <c r="C395" s="26"/>
      <c r="D395" s="26"/>
      <c r="E395" s="25"/>
      <c r="F395" s="25"/>
      <c r="G395" s="25"/>
      <c r="H395" s="25"/>
      <c r="I395" s="25"/>
      <c r="J395" s="34"/>
      <c r="K395" s="34"/>
    </row>
    <row r="396" spans="2:11">
      <c r="B396" s="98" t="s">
        <v>63</v>
      </c>
      <c r="C396" s="99"/>
      <c r="D396" s="99"/>
      <c r="E396" s="35"/>
      <c r="F396" s="35"/>
      <c r="G396" s="35"/>
      <c r="H396" s="35"/>
      <c r="I396" s="36"/>
      <c r="J396" s="34"/>
      <c r="K396" s="34"/>
    </row>
    <row r="397" spans="2:11">
      <c r="B397" s="79"/>
      <c r="C397" s="78"/>
      <c r="D397" s="78"/>
      <c r="E397" s="37">
        <v>2019</v>
      </c>
      <c r="F397" s="37">
        <v>2020</v>
      </c>
      <c r="G397" s="37">
        <v>2021</v>
      </c>
      <c r="H397" s="37">
        <v>2022</v>
      </c>
      <c r="I397" s="38">
        <v>2023</v>
      </c>
      <c r="J397" s="34"/>
      <c r="K397" s="34"/>
    </row>
    <row r="398" spans="2:11">
      <c r="B398" s="79" t="s">
        <v>64</v>
      </c>
      <c r="C398" s="78"/>
      <c r="D398" s="78"/>
      <c r="E398" s="44">
        <f>IS!B23</f>
        <v>18525988</v>
      </c>
      <c r="F398" s="44">
        <f>IS!C23</f>
        <v>18472518</v>
      </c>
      <c r="G398" s="44">
        <f>IS!D23</f>
        <v>21939045</v>
      </c>
      <c r="H398" s="44">
        <f>IS!E23</f>
        <v>29919054</v>
      </c>
      <c r="I398" s="45">
        <f>IS!F23</f>
        <v>33054448</v>
      </c>
      <c r="J398" s="34"/>
      <c r="K398" s="34"/>
    </row>
    <row r="399" spans="2:11">
      <c r="B399" s="80" t="s">
        <v>65</v>
      </c>
      <c r="C399" s="81"/>
      <c r="D399" s="81"/>
      <c r="E399" s="54"/>
      <c r="F399" s="65">
        <f>'KEY RATIOS'!C29</f>
        <v>0.21114108193316986</v>
      </c>
      <c r="G399" s="65">
        <f>'KEY RATIOS'!D29</f>
        <v>0.21592233567353861</v>
      </c>
      <c r="H399" s="65">
        <f>'KEY RATIOS'!E29</f>
        <v>0.24447318892894634</v>
      </c>
      <c r="I399" s="66">
        <f>'KEY RATIOS'!F29</f>
        <v>0.21988016573646979</v>
      </c>
      <c r="J399" s="34"/>
      <c r="K399" s="34"/>
    </row>
    <row r="400" spans="2:11">
      <c r="B400" s="76" t="s">
        <v>66</v>
      </c>
      <c r="C400" s="77"/>
      <c r="D400" s="77"/>
      <c r="E400" s="34"/>
      <c r="F400" s="34"/>
      <c r="G400" s="34"/>
      <c r="H400" s="34"/>
      <c r="I400" s="43"/>
      <c r="J400" s="34"/>
      <c r="K400" s="34"/>
    </row>
    <row r="401" spans="2:11">
      <c r="B401" s="79"/>
      <c r="C401" s="78"/>
      <c r="D401" s="78"/>
      <c r="E401" s="37">
        <v>2019</v>
      </c>
      <c r="F401" s="37">
        <v>2020</v>
      </c>
      <c r="G401" s="37">
        <v>2021</v>
      </c>
      <c r="H401" s="37">
        <v>2022</v>
      </c>
      <c r="I401" s="38">
        <v>2023</v>
      </c>
      <c r="J401" s="34"/>
      <c r="K401" s="34"/>
    </row>
    <row r="402" spans="2:11">
      <c r="B402" s="79" t="s">
        <v>11</v>
      </c>
      <c r="C402" s="78"/>
      <c r="D402" s="78"/>
      <c r="E402" s="41">
        <f>E306</f>
        <v>15.117133762452033</v>
      </c>
      <c r="F402" s="41">
        <f t="shared" ref="F402:I402" si="1">F306</f>
        <v>14.094589382925523</v>
      </c>
      <c r="G402" s="41">
        <f t="shared" si="1"/>
        <v>12.964684621818265</v>
      </c>
      <c r="H402" s="41">
        <f t="shared" si="1"/>
        <v>13.371673572444056</v>
      </c>
      <c r="I402" s="42">
        <f t="shared" si="1"/>
        <v>11.14831511176239</v>
      </c>
      <c r="J402" s="34"/>
      <c r="K402" s="34"/>
    </row>
    <row r="403" spans="2:11">
      <c r="B403" s="80" t="s">
        <v>67</v>
      </c>
      <c r="C403" s="81"/>
      <c r="D403" s="81"/>
      <c r="E403" s="54"/>
      <c r="F403" s="65">
        <f>'KEY RATIOS'!C30</f>
        <v>1.449422358968782E-2</v>
      </c>
      <c r="G403" s="65">
        <f>'KEY RATIOS'!D30</f>
        <v>1.600862749932027E-2</v>
      </c>
      <c r="H403" s="65">
        <f>'KEY RATIOS'!E30</f>
        <v>1.8534407593852307E-2</v>
      </c>
      <c r="I403" s="66">
        <f>'KEY RATIOS'!F30</f>
        <v>1.8095030021401531E-2</v>
      </c>
      <c r="J403" s="34"/>
      <c r="K403" s="34"/>
    </row>
    <row r="404" spans="2:11">
      <c r="B404" s="76" t="s">
        <v>68</v>
      </c>
      <c r="C404" s="77"/>
      <c r="D404" s="77"/>
      <c r="E404" s="34"/>
      <c r="F404" s="34"/>
      <c r="G404" s="34"/>
      <c r="H404" s="34"/>
      <c r="I404" s="43"/>
      <c r="J404" s="34"/>
      <c r="K404" s="34"/>
    </row>
    <row r="405" spans="2:11">
      <c r="B405" s="79"/>
      <c r="C405" s="78"/>
      <c r="D405" s="78"/>
      <c r="E405" s="37">
        <v>2019</v>
      </c>
      <c r="F405" s="37">
        <v>2020</v>
      </c>
      <c r="G405" s="37">
        <v>2021</v>
      </c>
      <c r="H405" s="37">
        <v>2022</v>
      </c>
      <c r="I405" s="38">
        <v>2023</v>
      </c>
      <c r="J405" s="34"/>
      <c r="K405" s="34"/>
    </row>
    <row r="406" spans="2:11">
      <c r="B406" s="79" t="s">
        <v>69</v>
      </c>
      <c r="C406" s="78"/>
      <c r="D406" s="78"/>
      <c r="E406" s="44">
        <f>IS!B2</f>
        <v>34577350</v>
      </c>
      <c r="F406" s="44">
        <f>IS!C2</f>
        <v>36285475</v>
      </c>
      <c r="G406" s="44">
        <f>IS!D2</f>
        <v>42399617</v>
      </c>
      <c r="H406" s="44">
        <f>IS!E2</f>
        <v>53246478</v>
      </c>
      <c r="I406" s="45">
        <f>IS!F2</f>
        <v>53620869</v>
      </c>
      <c r="J406" s="34"/>
      <c r="K406" s="34"/>
    </row>
    <row r="407" spans="2:11">
      <c r="B407" s="79" t="s">
        <v>70</v>
      </c>
      <c r="C407" s="78"/>
      <c r="D407" s="78"/>
      <c r="E407" s="44">
        <f>IS!B5</f>
        <v>4306844</v>
      </c>
      <c r="F407" s="44">
        <f>IS!C5</f>
        <v>6607317</v>
      </c>
      <c r="G407" s="44">
        <f>IS!D5</f>
        <v>7407073</v>
      </c>
      <c r="H407" s="44">
        <f>IS!E5</f>
        <v>6839100</v>
      </c>
      <c r="I407" s="45">
        <f>IS!F5</f>
        <v>5779723</v>
      </c>
      <c r="J407" s="34"/>
      <c r="K407" s="34"/>
    </row>
    <row r="408" spans="2:11">
      <c r="B408" s="79" t="s">
        <v>71</v>
      </c>
      <c r="C408" s="78"/>
      <c r="D408" s="78"/>
      <c r="E408" s="44">
        <f>IS!B9+IS!B10+IS!B14</f>
        <v>398118</v>
      </c>
      <c r="F408" s="44">
        <f>IS!C9+IS!C10+IS!C14</f>
        <v>463097</v>
      </c>
      <c r="G408" s="44">
        <f>IS!D9+IS!D10+IS!D14</f>
        <v>148798</v>
      </c>
      <c r="H408" s="44">
        <f>IS!E9+IS!E10+IS!E14</f>
        <v>174837</v>
      </c>
      <c r="I408" s="45">
        <f>IS!F9+IS!F10+IS!F14</f>
        <v>390673</v>
      </c>
      <c r="J408" s="34"/>
      <c r="K408" s="34"/>
    </row>
    <row r="409" spans="2:11">
      <c r="B409" s="79" t="s">
        <v>72</v>
      </c>
      <c r="C409" s="78"/>
      <c r="D409" s="78"/>
      <c r="E409" s="44">
        <f>IS!B8</f>
        <v>3378274</v>
      </c>
      <c r="F409" s="44">
        <f>IS!C8</f>
        <v>3906399</v>
      </c>
      <c r="G409" s="44">
        <f>IS!D8</f>
        <v>4374820</v>
      </c>
      <c r="H409" s="44">
        <f>IS!E8</f>
        <v>5768445</v>
      </c>
      <c r="I409" s="45">
        <f>IS!F8</f>
        <v>5660028</v>
      </c>
      <c r="J409" s="34"/>
      <c r="K409" s="34"/>
    </row>
    <row r="410" spans="2:11">
      <c r="B410" s="80" t="s">
        <v>73</v>
      </c>
      <c r="C410" s="81"/>
      <c r="D410" s="81"/>
      <c r="E410" s="51">
        <f>IS!B11</f>
        <v>3069795</v>
      </c>
      <c r="F410" s="51">
        <f>IS!C11</f>
        <v>1800253</v>
      </c>
      <c r="G410" s="51">
        <f>IS!D11</f>
        <v>2393261</v>
      </c>
      <c r="H410" s="51">
        <f>IS!E11</f>
        <v>2053961</v>
      </c>
      <c r="I410" s="52">
        <f>IS!F11</f>
        <v>2272169</v>
      </c>
      <c r="J410" s="34"/>
      <c r="K410" s="34"/>
    </row>
    <row r="411" spans="2:11">
      <c r="B411" s="76" t="s">
        <v>74</v>
      </c>
      <c r="C411" s="78"/>
      <c r="D411" s="78"/>
      <c r="E411" s="44"/>
      <c r="F411" s="44"/>
      <c r="G411" s="44"/>
      <c r="H411" s="44"/>
      <c r="I411" s="45"/>
      <c r="J411" s="34"/>
      <c r="K411" s="34"/>
    </row>
    <row r="412" spans="2:11">
      <c r="B412" s="79" t="s">
        <v>75</v>
      </c>
      <c r="C412" s="78"/>
      <c r="D412" s="78"/>
      <c r="E412" s="44">
        <f>ABS(IS!B18)</f>
        <v>6790429</v>
      </c>
      <c r="F412" s="44">
        <f>ABS(IS!C18)</f>
        <v>9974730</v>
      </c>
      <c r="G412" s="44">
        <f>ABS(IS!D18)</f>
        <v>11760801</v>
      </c>
      <c r="H412" s="44">
        <f>ABS(IS!E18)</f>
        <v>9464218</v>
      </c>
      <c r="I412" s="45">
        <f>ABS(IS!F18)</f>
        <v>4564876</v>
      </c>
      <c r="J412" s="34"/>
      <c r="K412" s="34"/>
    </row>
    <row r="413" spans="2:11">
      <c r="B413" s="79" t="s">
        <v>76</v>
      </c>
      <c r="C413" s="78"/>
      <c r="D413" s="78"/>
      <c r="E413" s="58">
        <f>ABS(IS!B18)/IS!B17</f>
        <v>0.22700742284090633</v>
      </c>
      <c r="F413" s="58">
        <f>ABS(IS!C18)/IS!C17</f>
        <v>0.30204221492597677</v>
      </c>
      <c r="G413" s="58">
        <f>ABS(IS!D18)/IS!D17</f>
        <v>0.3004083512840216</v>
      </c>
      <c r="H413" s="58">
        <f>ABS(IS!E18)/IS!E17</f>
        <v>0.20208736665108695</v>
      </c>
      <c r="I413" s="59">
        <f>ABS(IS!F18)/IS!F17</f>
        <v>9.9651150375531322E-2</v>
      </c>
      <c r="J413" s="34"/>
      <c r="K413" s="34"/>
    </row>
    <row r="414" spans="2:11">
      <c r="B414" s="79"/>
      <c r="C414" s="78"/>
      <c r="D414" s="78"/>
      <c r="E414" s="44"/>
      <c r="F414" s="44"/>
      <c r="G414" s="44"/>
      <c r="H414" s="44"/>
      <c r="I414" s="45"/>
      <c r="J414" s="34"/>
      <c r="K414" s="34"/>
    </row>
    <row r="415" spans="2:11">
      <c r="B415" s="76" t="s">
        <v>77</v>
      </c>
      <c r="C415" s="77"/>
      <c r="D415" s="77"/>
      <c r="E415" s="34"/>
      <c r="F415" s="34"/>
      <c r="G415" s="34"/>
      <c r="H415" s="34"/>
      <c r="I415" s="43"/>
      <c r="J415" s="34"/>
      <c r="K415" s="34"/>
    </row>
    <row r="416" spans="2:11">
      <c r="B416" s="79"/>
      <c r="C416" s="78"/>
      <c r="D416" s="78"/>
      <c r="E416" s="37">
        <v>2019</v>
      </c>
      <c r="F416" s="37">
        <v>2020</v>
      </c>
      <c r="G416" s="37">
        <v>2021</v>
      </c>
      <c r="H416" s="37">
        <v>2022</v>
      </c>
      <c r="I416" s="38">
        <v>2023</v>
      </c>
      <c r="J416" s="34"/>
      <c r="K416" s="34"/>
    </row>
    <row r="417" spans="2:11">
      <c r="B417" s="79" t="s">
        <v>78</v>
      </c>
      <c r="C417" s="78"/>
      <c r="D417" s="78"/>
      <c r="E417" s="44">
        <f>ABS(IS!B16)</f>
        <v>15817575</v>
      </c>
      <c r="F417" s="44">
        <f>ABS(IS!C16)</f>
        <v>16038250</v>
      </c>
      <c r="G417" s="44">
        <f>ABS(IS!D16)</f>
        <v>17574188</v>
      </c>
      <c r="H417" s="44">
        <f>ABS(IS!E16)</f>
        <v>21250512</v>
      </c>
      <c r="I417" s="45">
        <f>ABS(IS!F16)</f>
        <v>21914899</v>
      </c>
      <c r="J417" s="34"/>
      <c r="K417" s="34"/>
    </row>
    <row r="418" spans="2:11">
      <c r="B418" s="88" t="s">
        <v>79</v>
      </c>
      <c r="C418" s="89"/>
      <c r="D418" s="89"/>
      <c r="E418" s="70"/>
      <c r="F418" s="70">
        <f>'KEY RATIOS'!C37</f>
        <v>0.3268939943408149</v>
      </c>
      <c r="G418" s="70">
        <f>'KEY RATIOS'!D37</f>
        <v>0.30982161929902541</v>
      </c>
      <c r="H418" s="70">
        <f>'KEY RATIOS'!E37</f>
        <v>0.31212737204294166</v>
      </c>
      <c r="I418" s="71">
        <f>'KEY RATIOS'!F37</f>
        <v>0.32359389719326515</v>
      </c>
      <c r="J418" s="34"/>
      <c r="K418" s="34"/>
    </row>
    <row r="419" spans="2:11">
      <c r="B419" s="34"/>
      <c r="C419" s="34"/>
      <c r="D419" s="34"/>
      <c r="E419" s="34"/>
      <c r="F419" s="34"/>
      <c r="G419" s="34"/>
      <c r="H419" s="34"/>
      <c r="I419" s="34"/>
      <c r="J419" s="34"/>
      <c r="K419" s="34"/>
    </row>
    <row r="420" spans="2:11">
      <c r="B420" s="34"/>
      <c r="C420" s="34"/>
      <c r="D420" s="34"/>
      <c r="E420" s="34"/>
      <c r="F420" s="34"/>
      <c r="G420" s="34"/>
      <c r="H420" s="34"/>
      <c r="I420" s="34"/>
      <c r="J420" s="34"/>
      <c r="K420" s="34"/>
    </row>
    <row r="421" spans="2:11" ht="15.75">
      <c r="B421" s="23" t="s">
        <v>5</v>
      </c>
      <c r="C421" s="26"/>
      <c r="D421" s="25"/>
      <c r="E421" s="25"/>
      <c r="F421" s="25"/>
      <c r="G421" s="25"/>
      <c r="H421" s="25"/>
      <c r="I421" s="25"/>
      <c r="J421" s="34"/>
    </row>
    <row r="422" spans="2:11">
      <c r="B422" s="509" t="s">
        <v>18</v>
      </c>
      <c r="C422" s="510"/>
      <c r="D422" s="510"/>
      <c r="E422" s="35"/>
      <c r="F422" s="35"/>
      <c r="G422" s="35"/>
      <c r="H422" s="35"/>
      <c r="I422" s="36"/>
      <c r="J422" s="34"/>
    </row>
    <row r="423" spans="2:11">
      <c r="B423" s="79"/>
      <c r="C423" s="78"/>
      <c r="D423" s="78"/>
      <c r="E423" s="37">
        <v>2019</v>
      </c>
      <c r="F423" s="37">
        <v>2020</v>
      </c>
      <c r="G423" s="37">
        <v>2021</v>
      </c>
      <c r="H423" s="37">
        <v>2022</v>
      </c>
      <c r="I423" s="38">
        <v>2023</v>
      </c>
      <c r="J423" s="34"/>
    </row>
    <row r="424" spans="2:11">
      <c r="B424" s="79" t="s">
        <v>19</v>
      </c>
      <c r="C424" s="78"/>
      <c r="D424" s="78"/>
      <c r="E424" s="44">
        <f>BS!B113</f>
        <v>297932821</v>
      </c>
      <c r="F424" s="44">
        <f>BS!C113</f>
        <v>316204412</v>
      </c>
      <c r="G424" s="44">
        <f>BS!D113</f>
        <v>266283023</v>
      </c>
      <c r="H424" s="44">
        <f>BS!E113</f>
        <v>424543787</v>
      </c>
      <c r="I424" s="45">
        <f>BS!F113</f>
        <v>409077959</v>
      </c>
      <c r="J424" s="34"/>
    </row>
    <row r="425" spans="2:11">
      <c r="B425" s="80" t="s">
        <v>80</v>
      </c>
      <c r="C425" s="81"/>
      <c r="D425" s="81"/>
      <c r="E425" s="65">
        <f>E424/BS!B68</f>
        <v>0.40551249028641545</v>
      </c>
      <c r="F425" s="65">
        <f>F424/BS!C68</f>
        <v>0.37652873549753035</v>
      </c>
      <c r="G425" s="65">
        <f>G424/BS!D68</f>
        <v>0.27716162942729466</v>
      </c>
      <c r="H425" s="65">
        <f>H424/BS!E68</f>
        <v>0.37075914777856739</v>
      </c>
      <c r="I425" s="66">
        <f>I424/BS!F68</f>
        <v>0.32201759754816023</v>
      </c>
      <c r="J425" s="34"/>
    </row>
    <row r="426" spans="2:11">
      <c r="B426" s="82" t="s">
        <v>24</v>
      </c>
      <c r="C426" s="83"/>
      <c r="D426" s="83"/>
      <c r="E426" s="55"/>
      <c r="F426" s="55"/>
      <c r="G426" s="55"/>
      <c r="H426" s="55"/>
      <c r="I426" s="62"/>
      <c r="J426" s="34"/>
    </row>
    <row r="427" spans="2:11">
      <c r="B427" s="79"/>
      <c r="C427" s="78"/>
      <c r="D427" s="78"/>
      <c r="E427" s="37">
        <v>2019</v>
      </c>
      <c r="F427" s="37">
        <v>2020</v>
      </c>
      <c r="G427" s="37">
        <v>2021</v>
      </c>
      <c r="H427" s="37">
        <v>2022</v>
      </c>
      <c r="I427" s="38">
        <v>2023</v>
      </c>
      <c r="J427" s="34"/>
    </row>
    <row r="428" spans="2:11">
      <c r="B428" s="79" t="s">
        <v>81</v>
      </c>
      <c r="C428" s="78"/>
      <c r="D428" s="78"/>
      <c r="E428" s="58">
        <f>E327</f>
        <v>0.79249999999999998</v>
      </c>
      <c r="F428" s="58">
        <f t="shared" ref="F428:I428" si="2">F327</f>
        <v>0.82180000000000009</v>
      </c>
      <c r="G428" s="58">
        <f t="shared" si="2"/>
        <v>0.86180000000000012</v>
      </c>
      <c r="H428" s="58">
        <f t="shared" si="2"/>
        <v>0.91670000000000007</v>
      </c>
      <c r="I428" s="59">
        <f t="shared" si="2"/>
        <v>0.91659999999999997</v>
      </c>
      <c r="J428" s="34"/>
    </row>
    <row r="429" spans="2:11">
      <c r="B429" s="80" t="s">
        <v>82</v>
      </c>
      <c r="C429" s="81"/>
      <c r="D429" s="81"/>
      <c r="E429" s="258">
        <f>BS!B43/BS!B$46</f>
        <v>0.52314192735671505</v>
      </c>
      <c r="F429" s="258">
        <f>BS!C43/BS!C$46</f>
        <v>0.51724191700745858</v>
      </c>
      <c r="G429" s="258">
        <f>BS!D43/BS!D$46</f>
        <v>0.52905117648431221</v>
      </c>
      <c r="H429" s="258">
        <f>BS!E43/BS!E$46</f>
        <v>0.56889439890486682</v>
      </c>
      <c r="I429" s="259">
        <f>BS!F43/BS!F$46</f>
        <v>0.62234753782021013</v>
      </c>
      <c r="J429" s="34"/>
    </row>
    <row r="430" spans="2:11">
      <c r="B430" s="82" t="s">
        <v>83</v>
      </c>
      <c r="C430" s="84"/>
      <c r="D430" s="84"/>
      <c r="E430" s="285"/>
      <c r="F430" s="285"/>
      <c r="G430" s="285"/>
      <c r="H430" s="285"/>
      <c r="I430" s="286"/>
      <c r="J430" s="34"/>
    </row>
    <row r="431" spans="2:11">
      <c r="B431" s="79" t="str">
        <f>BS!A128</f>
        <v>Thanh khoản trong vòng 1 tháng tới</v>
      </c>
      <c r="C431" s="78"/>
      <c r="D431" s="78"/>
      <c r="E431" s="44">
        <f>BS!B128</f>
        <v>0</v>
      </c>
      <c r="F431" s="44">
        <f>BS!C128</f>
        <v>-75640586</v>
      </c>
      <c r="G431" s="44">
        <f>BS!D128</f>
        <v>-101917970</v>
      </c>
      <c r="H431" s="44">
        <f>BS!E128</f>
        <v>-54034647</v>
      </c>
      <c r="I431" s="45">
        <f>BS!F128</f>
        <v>-488438739</v>
      </c>
      <c r="J431" s="34"/>
    </row>
    <row r="432" spans="2:11">
      <c r="B432" s="79" t="str">
        <f>BS!A131</f>
        <v>Thanh khoản từ 1-3 tháng tới</v>
      </c>
      <c r="C432" s="78"/>
      <c r="D432" s="78"/>
      <c r="E432" s="44">
        <f>BS!B131</f>
        <v>0</v>
      </c>
      <c r="F432" s="44">
        <f>BS!C131</f>
        <v>-29774632</v>
      </c>
      <c r="G432" s="44">
        <f>BS!D131</f>
        <v>29379404</v>
      </c>
      <c r="H432" s="44">
        <f>BS!E131</f>
        <v>29615333</v>
      </c>
      <c r="I432" s="45">
        <f>BS!F131</f>
        <v>68277448</v>
      </c>
      <c r="J432" s="34"/>
    </row>
    <row r="433" spans="2:15">
      <c r="B433" s="79" t="str">
        <f>BS!A134</f>
        <v>Thanh khoản từ 3-12 tháng tới</v>
      </c>
      <c r="C433" s="78"/>
      <c r="D433" s="78"/>
      <c r="E433" s="44">
        <f>BS!B134</f>
        <v>0</v>
      </c>
      <c r="F433" s="44">
        <f>BS!C134</f>
        <v>17592914</v>
      </c>
      <c r="G433" s="44">
        <f>BS!D134</f>
        <v>4688336</v>
      </c>
      <c r="H433" s="44">
        <f>BS!E134</f>
        <v>-21281255</v>
      </c>
      <c r="I433" s="45">
        <f>BS!F134</f>
        <v>96570633</v>
      </c>
      <c r="J433" s="34"/>
    </row>
    <row r="434" spans="2:15">
      <c r="B434" s="76" t="s">
        <v>84</v>
      </c>
      <c r="C434" s="78"/>
      <c r="D434" s="78"/>
      <c r="E434" s="37">
        <v>2019</v>
      </c>
      <c r="F434" s="37">
        <v>2020</v>
      </c>
      <c r="G434" s="37">
        <v>2021</v>
      </c>
      <c r="H434" s="37">
        <v>2022</v>
      </c>
      <c r="I434" s="38">
        <v>2023</v>
      </c>
      <c r="J434" s="34"/>
    </row>
    <row r="435" spans="2:15">
      <c r="B435" s="79" t="s">
        <v>85</v>
      </c>
      <c r="C435" s="78"/>
      <c r="D435" s="78"/>
      <c r="E435" s="44">
        <f>(BS!B128+BS!B131)</f>
        <v>0</v>
      </c>
      <c r="F435" s="44">
        <f>(BS!C128+BS!C131)</f>
        <v>-105415218</v>
      </c>
      <c r="G435" s="44">
        <f>(BS!D128+BS!D131)</f>
        <v>-72538566</v>
      </c>
      <c r="H435" s="44">
        <f>(BS!E128+BS!E131)</f>
        <v>-24419314</v>
      </c>
      <c r="I435" s="45">
        <f>(BS!F128+BS!F131)</f>
        <v>-420161291</v>
      </c>
      <c r="J435" s="34"/>
      <c r="K435" s="34"/>
      <c r="O435" s="284"/>
    </row>
    <row r="436" spans="2:15">
      <c r="B436" s="88" t="s">
        <v>86</v>
      </c>
      <c r="C436" s="89"/>
      <c r="D436" s="89"/>
      <c r="E436" s="67"/>
      <c r="F436" s="67">
        <f>F435/BS!C135</f>
        <v>-0.12225516371186256</v>
      </c>
      <c r="G436" s="67">
        <f>G435/BS!D135</f>
        <v>-8.2614421236601884E-2</v>
      </c>
      <c r="H436" s="67">
        <f>H435/BS!E135</f>
        <v>-1.9128307545797828E-2</v>
      </c>
      <c r="I436" s="68">
        <f>I435/BS!F135</f>
        <v>-0.31555564962847538</v>
      </c>
      <c r="J436" s="34"/>
      <c r="K436" s="34"/>
    </row>
    <row r="437" spans="2:15">
      <c r="B437" s="34"/>
      <c r="C437" s="34"/>
      <c r="D437" s="34"/>
      <c r="E437" s="56"/>
      <c r="F437" s="56"/>
      <c r="G437" s="56"/>
      <c r="H437" s="56"/>
      <c r="I437" s="56"/>
      <c r="J437" s="34"/>
      <c r="K437" s="34"/>
    </row>
    <row r="438" spans="2:15" ht="15.75">
      <c r="B438" s="23" t="s">
        <v>87</v>
      </c>
      <c r="C438" s="23"/>
      <c r="D438" s="23"/>
      <c r="E438" s="69"/>
      <c r="F438" s="69"/>
      <c r="G438" s="69"/>
      <c r="H438" s="69"/>
      <c r="I438" s="69"/>
      <c r="J438" s="34"/>
      <c r="K438" s="34"/>
    </row>
    <row r="439" spans="2:15" ht="15.75">
      <c r="B439" s="98" t="s">
        <v>88</v>
      </c>
      <c r="C439" s="293"/>
      <c r="D439" s="293"/>
      <c r="E439" s="287"/>
      <c r="F439" s="287"/>
      <c r="G439" s="287"/>
      <c r="H439" s="287"/>
      <c r="I439" s="288"/>
      <c r="J439" s="34"/>
      <c r="K439" s="34"/>
    </row>
    <row r="440" spans="2:15" ht="15.75">
      <c r="B440" s="294"/>
      <c r="C440" s="295"/>
      <c r="D440" s="295"/>
      <c r="E440" s="37">
        <v>2019</v>
      </c>
      <c r="F440" s="37">
        <v>2020</v>
      </c>
      <c r="G440" s="37">
        <v>2021</v>
      </c>
      <c r="H440" s="37">
        <v>2022</v>
      </c>
      <c r="I440" s="38">
        <v>2023</v>
      </c>
      <c r="J440" s="34"/>
      <c r="K440" s="34"/>
    </row>
    <row r="441" spans="2:15" ht="15.75">
      <c r="B441" s="296" t="str">
        <f>BS!A144</f>
        <v>Tài sản/Nợ ròng chịu rủi ro lãi suất trong 1 tháng tới</v>
      </c>
      <c r="C441" s="297"/>
      <c r="D441" s="298"/>
      <c r="E441" s="289"/>
      <c r="F441" s="289">
        <f>BS!C144</f>
        <v>-291107307</v>
      </c>
      <c r="G441" s="289">
        <f>BS!D144</f>
        <v>-364305152</v>
      </c>
      <c r="H441" s="289">
        <f>BS!E144</f>
        <v>-335475464</v>
      </c>
      <c r="I441" s="290">
        <f>BS!F144</f>
        <v>-370647229</v>
      </c>
      <c r="J441" s="34"/>
      <c r="K441" s="34"/>
    </row>
    <row r="442" spans="2:15" ht="15.75">
      <c r="B442" s="296" t="str">
        <f>BS!A147</f>
        <v>Tài sản/Nợ ròng chịu rủi ro lãi suất từ 1-3 tháng tới</v>
      </c>
      <c r="C442" s="297"/>
      <c r="D442" s="298"/>
      <c r="E442" s="289"/>
      <c r="F442" s="289">
        <f>BS!C147</f>
        <v>116188976</v>
      </c>
      <c r="G442" s="289">
        <f>BS!D147</f>
        <v>167128894</v>
      </c>
      <c r="H442" s="289">
        <f>BS!E147</f>
        <v>252462846</v>
      </c>
      <c r="I442" s="290">
        <f>BS!F147</f>
        <v>254910903</v>
      </c>
      <c r="J442" s="34"/>
      <c r="K442" s="34"/>
    </row>
    <row r="443" spans="2:15" ht="15.75">
      <c r="B443" s="296" t="str">
        <f>BS!A150</f>
        <v>Tài sản/Nợ ròng chịu rủi ro lãi suất từ 3-6 tháng tới</v>
      </c>
      <c r="C443" s="297"/>
      <c r="D443" s="298"/>
      <c r="E443" s="289"/>
      <c r="F443" s="289">
        <f>BS!C150</f>
        <v>128360884</v>
      </c>
      <c r="G443" s="289">
        <f>BS!D150</f>
        <v>152419848</v>
      </c>
      <c r="H443" s="289">
        <f>BS!E150</f>
        <v>201657963</v>
      </c>
      <c r="I443" s="290">
        <f>BS!F150</f>
        <v>212804051</v>
      </c>
      <c r="J443" s="34"/>
      <c r="K443" s="34"/>
    </row>
    <row r="444" spans="2:15" ht="15.75">
      <c r="B444" s="299" t="str">
        <f>BS!A153</f>
        <v>Tài sản/Nợ ròng chịu rủi ro lãi suất từ 6-12 tháng tới</v>
      </c>
      <c r="C444" s="300"/>
      <c r="D444" s="301"/>
      <c r="E444" s="291"/>
      <c r="F444" s="291">
        <f>BS!C153</f>
        <v>-45761110</v>
      </c>
      <c r="G444" s="291">
        <f>BS!D153</f>
        <v>-62928772</v>
      </c>
      <c r="H444" s="291">
        <f>BS!E153</f>
        <v>-118964872</v>
      </c>
      <c r="I444" s="292">
        <f>BS!F153</f>
        <v>-98463102</v>
      </c>
      <c r="J444" s="34"/>
      <c r="K444" s="34"/>
    </row>
    <row r="445" spans="2:15">
      <c r="B445" s="76" t="s">
        <v>89</v>
      </c>
      <c r="C445" s="78"/>
      <c r="D445" s="78"/>
      <c r="E445" s="37">
        <v>2019</v>
      </c>
      <c r="F445" s="37">
        <v>2020</v>
      </c>
      <c r="G445" s="37">
        <v>2021</v>
      </c>
      <c r="H445" s="37">
        <v>2022</v>
      </c>
      <c r="I445" s="38">
        <v>2023</v>
      </c>
      <c r="J445" s="34"/>
      <c r="K445" s="34"/>
    </row>
    <row r="446" spans="2:15" ht="16.899999999999999" customHeight="1">
      <c r="B446" s="79" t="s">
        <v>90</v>
      </c>
      <c r="C446" s="78"/>
      <c r="D446" s="78"/>
      <c r="E446" s="44"/>
      <c r="F446" s="44">
        <f>(BS!C144+BS!C147)</f>
        <v>-174918331</v>
      </c>
      <c r="G446" s="44">
        <f>(BS!D144+BS!D147)</f>
        <v>-197176258</v>
      </c>
      <c r="H446" s="44">
        <f>(BS!E144+BS!E147)</f>
        <v>-83012618</v>
      </c>
      <c r="I446" s="45">
        <f>(BS!F144+BS!F147)</f>
        <v>-115736326</v>
      </c>
      <c r="J446" s="34"/>
      <c r="K446" s="34"/>
    </row>
    <row r="447" spans="2:15">
      <c r="B447" s="88" t="s">
        <v>91</v>
      </c>
      <c r="C447" s="89"/>
      <c r="D447" s="89"/>
      <c r="E447" s="70"/>
      <c r="F447" s="70">
        <f>F446/BS!C$154</f>
        <v>-0.1602283324622033</v>
      </c>
      <c r="G447" s="70">
        <f>G446/BS!D$154</f>
        <v>-0.1734367540310042</v>
      </c>
      <c r="H447" s="70">
        <f>H446/BS!E$154</f>
        <v>-5.3850037754880016E-2</v>
      </c>
      <c r="I447" s="71">
        <f>I446/BS!F$154</f>
        <v>-7.1362395411479471E-2</v>
      </c>
      <c r="J447" s="34"/>
      <c r="K447" s="34"/>
    </row>
    <row r="454" spans="10:11">
      <c r="J454" s="34"/>
    </row>
    <row r="455" spans="10:11">
      <c r="J455" s="34"/>
      <c r="K455" s="34"/>
    </row>
    <row r="456" spans="10:11">
      <c r="J456" s="34"/>
      <c r="K456" s="34"/>
    </row>
    <row r="457" spans="10:11">
      <c r="J457" s="34"/>
      <c r="K457" s="34"/>
    </row>
    <row r="458" spans="10:11">
      <c r="J458" s="34"/>
      <c r="K458" s="34"/>
    </row>
    <row r="459" spans="10:11">
      <c r="J459" s="34"/>
      <c r="K459" s="34"/>
    </row>
    <row r="460" spans="10:11">
      <c r="J460" s="34"/>
      <c r="K460" s="34"/>
    </row>
    <row r="461" spans="10:11">
      <c r="J461" s="34"/>
      <c r="K461" s="34"/>
    </row>
    <row r="462" spans="10:11">
      <c r="J462" s="34"/>
      <c r="K462" s="34"/>
    </row>
    <row r="463" spans="10:11">
      <c r="J463" s="34"/>
    </row>
    <row r="464" spans="10:11">
      <c r="J464" s="34"/>
    </row>
    <row r="476" spans="10:10">
      <c r="J476" s="16"/>
    </row>
    <row r="494" spans="10:10">
      <c r="J494" s="16"/>
    </row>
  </sheetData>
  <mergeCells count="14">
    <mergeCell ref="B1:J1"/>
    <mergeCell ref="B301:I301"/>
    <mergeCell ref="B422:D422"/>
    <mergeCell ref="B311:D311"/>
    <mergeCell ref="B303:D303"/>
    <mergeCell ref="B305:D305"/>
    <mergeCell ref="B306:D306"/>
    <mergeCell ref="B307:D307"/>
    <mergeCell ref="B309:D309"/>
    <mergeCell ref="B310:D310"/>
    <mergeCell ref="B367:D367"/>
    <mergeCell ref="B374:D374"/>
    <mergeCell ref="B378:D378"/>
    <mergeCell ref="B382:D382"/>
  </mergeCells>
  <phoneticPr fontId="39" type="noConversion"/>
  <pageMargins left="0.7" right="0.7" top="0.75" bottom="0.75" header="0.3" footer="0.3"/>
  <pageSetup paperSize="9" scale="51" orientation="portrait" r:id="rId1"/>
  <headerFooter>
    <oddFooter>&amp;R&amp;P</oddFooter>
  </headerFooter>
  <rowBreaks count="4" manualBreakCount="4">
    <brk id="40" max="26" man="1"/>
    <brk id="184" max="26" man="1"/>
    <brk id="300" max="26" man="1"/>
    <brk id="420" max="2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I187"/>
  <sheetViews>
    <sheetView showGridLines="0" zoomScale="70" zoomScaleNormal="70" workbookViewId="0">
      <selection activeCell="A3" sqref="A3:A12"/>
    </sheetView>
  </sheetViews>
  <sheetFormatPr defaultColWidth="8.85546875" defaultRowHeight="15.75"/>
  <cols>
    <col min="1" max="1" width="71.7109375" style="4" bestFit="1" customWidth="1"/>
    <col min="2" max="2" width="17.42578125" style="4" bestFit="1" customWidth="1"/>
    <col min="3" max="3" width="16.7109375" style="4" bestFit="1" customWidth="1"/>
    <col min="4" max="4" width="18.7109375" style="4" bestFit="1" customWidth="1"/>
    <col min="5" max="5" width="16.7109375" style="4" bestFit="1" customWidth="1"/>
    <col min="6" max="6" width="17.42578125" style="4" bestFit="1" customWidth="1"/>
    <col min="7" max="7" width="14.42578125" style="4" bestFit="1" customWidth="1"/>
    <col min="8" max="8" width="12.140625" style="4" bestFit="1" customWidth="1"/>
    <col min="9" max="9" width="13.7109375" style="4" bestFit="1" customWidth="1"/>
    <col min="10" max="16384" width="8.85546875" style="4"/>
  </cols>
  <sheetData>
    <row r="1" spans="1:8">
      <c r="A1" s="108" t="s">
        <v>92</v>
      </c>
      <c r="B1" s="107" t="s">
        <v>93</v>
      </c>
      <c r="C1" s="107" t="s">
        <v>94</v>
      </c>
      <c r="D1" s="107" t="s">
        <v>95</v>
      </c>
      <c r="E1" s="107" t="s">
        <v>96</v>
      </c>
      <c r="F1" s="107" t="s">
        <v>97</v>
      </c>
    </row>
    <row r="2" spans="1:8">
      <c r="A2" s="101" t="s">
        <v>98</v>
      </c>
      <c r="B2" s="114"/>
      <c r="C2" s="115"/>
      <c r="D2" s="115"/>
      <c r="E2" s="115"/>
      <c r="F2" s="115"/>
    </row>
    <row r="3" spans="1:8">
      <c r="A3" s="102" t="s">
        <v>99</v>
      </c>
      <c r="B3" s="116">
        <v>13778358</v>
      </c>
      <c r="C3" s="117">
        <v>15095394</v>
      </c>
      <c r="D3" s="117">
        <v>18011766</v>
      </c>
      <c r="E3" s="117">
        <v>18348534</v>
      </c>
      <c r="F3" s="117">
        <v>14504849</v>
      </c>
    </row>
    <row r="4" spans="1:8">
      <c r="A4" s="113" t="s">
        <v>100</v>
      </c>
      <c r="B4" s="118">
        <v>34684091</v>
      </c>
      <c r="C4" s="119">
        <v>33139373</v>
      </c>
      <c r="D4" s="119">
        <v>22506711</v>
      </c>
      <c r="E4" s="119">
        <v>92557809</v>
      </c>
      <c r="F4" s="119">
        <v>58104503</v>
      </c>
    </row>
    <row r="5" spans="1:8" ht="15.6" customHeight="1">
      <c r="A5" s="113" t="s">
        <v>101</v>
      </c>
      <c r="B5" s="118">
        <v>249470372</v>
      </c>
      <c r="C5" s="119">
        <v>267969645</v>
      </c>
      <c r="D5" s="119">
        <v>225764546</v>
      </c>
      <c r="E5" s="119">
        <v>313637444</v>
      </c>
      <c r="F5" s="119">
        <v>336468607</v>
      </c>
    </row>
    <row r="6" spans="1:8">
      <c r="A6" s="113" t="s">
        <v>102</v>
      </c>
      <c r="B6" s="118">
        <v>1801126</v>
      </c>
      <c r="C6" s="119">
        <v>1954061</v>
      </c>
      <c r="D6" s="119">
        <v>2766098</v>
      </c>
      <c r="E6" s="119">
        <v>1499687</v>
      </c>
      <c r="F6" s="119">
        <v>2495408</v>
      </c>
    </row>
    <row r="7" spans="1:8">
      <c r="A7" s="113" t="s">
        <v>103</v>
      </c>
      <c r="B7" s="118">
        <v>98312</v>
      </c>
      <c r="C7" s="119"/>
      <c r="D7" s="119">
        <v>303202</v>
      </c>
      <c r="E7" s="119">
        <v>156515</v>
      </c>
      <c r="F7" s="119"/>
    </row>
    <row r="8" spans="1:8" ht="15.6" customHeight="1">
      <c r="A8" s="113" t="s">
        <v>104</v>
      </c>
      <c r="B8" s="120">
        <v>724290102</v>
      </c>
      <c r="C8" s="121">
        <v>820545467</v>
      </c>
      <c r="D8" s="121">
        <v>934774287</v>
      </c>
      <c r="E8" s="121">
        <v>1120286832</v>
      </c>
      <c r="F8" s="121">
        <v>1241675333</v>
      </c>
      <c r="H8" s="11"/>
    </row>
    <row r="9" spans="1:8" ht="15.6" customHeight="1">
      <c r="A9" s="113" t="s">
        <v>105</v>
      </c>
      <c r="B9" s="120">
        <v>167529689</v>
      </c>
      <c r="C9" s="121">
        <v>156931097</v>
      </c>
      <c r="D9" s="121">
        <v>170604700</v>
      </c>
      <c r="E9" s="121">
        <v>196171213</v>
      </c>
      <c r="F9" s="121">
        <v>145780067</v>
      </c>
    </row>
    <row r="10" spans="1:8">
      <c r="A10" s="113" t="s">
        <v>106</v>
      </c>
      <c r="B10" s="120">
        <v>2464493</v>
      </c>
      <c r="C10" s="121">
        <v>2239006</v>
      </c>
      <c r="D10" s="121">
        <v>2346176</v>
      </c>
      <c r="E10" s="121">
        <v>2193535</v>
      </c>
      <c r="F10" s="121">
        <v>2224945</v>
      </c>
    </row>
    <row r="11" spans="1:8">
      <c r="A11" s="113" t="s">
        <v>22</v>
      </c>
      <c r="B11" s="120">
        <v>6710443</v>
      </c>
      <c r="C11" s="121">
        <v>8539362</v>
      </c>
      <c r="D11" s="121">
        <v>8626043</v>
      </c>
      <c r="E11" s="121">
        <v>7985400</v>
      </c>
      <c r="F11" s="121">
        <v>7708181</v>
      </c>
    </row>
    <row r="12" spans="1:8">
      <c r="A12" s="113" t="s">
        <v>107</v>
      </c>
      <c r="B12" s="120">
        <v>21891872</v>
      </c>
      <c r="C12" s="121">
        <v>19816687</v>
      </c>
      <c r="D12" s="121">
        <v>28969058</v>
      </c>
      <c r="E12" s="121">
        <v>60978201</v>
      </c>
      <c r="F12" s="121">
        <v>30651305</v>
      </c>
    </row>
    <row r="13" spans="1:8" s="5" customFormat="1" ht="15.6" customHeight="1">
      <c r="A13" s="104" t="s">
        <v>108</v>
      </c>
      <c r="B13" s="122">
        <v>1222718858</v>
      </c>
      <c r="C13" s="123">
        <v>1326230092</v>
      </c>
      <c r="D13" s="123">
        <v>1414672587</v>
      </c>
      <c r="E13" s="123">
        <v>1813815170</v>
      </c>
      <c r="F13" s="123">
        <v>1839613198</v>
      </c>
    </row>
    <row r="14" spans="1:8">
      <c r="A14" s="103" t="s">
        <v>109</v>
      </c>
      <c r="B14" s="124"/>
      <c r="C14" s="125"/>
      <c r="D14" s="125"/>
      <c r="E14" s="125"/>
      <c r="F14" s="125"/>
    </row>
    <row r="15" spans="1:8">
      <c r="A15" s="478" t="s">
        <v>110</v>
      </c>
      <c r="B15" s="481">
        <f>SUM(B16:B22)</f>
        <v>1141835876</v>
      </c>
      <c r="C15" s="482">
        <f t="shared" ref="C15:F15" si="0">SUM(C16:C22)</f>
        <v>1232135113</v>
      </c>
      <c r="D15" s="482">
        <f t="shared" si="0"/>
        <v>1305555194</v>
      </c>
      <c r="E15" s="482">
        <f t="shared" si="0"/>
        <v>1678169085</v>
      </c>
      <c r="F15" s="482">
        <f t="shared" si="0"/>
        <v>1674600532</v>
      </c>
    </row>
    <row r="16" spans="1:8">
      <c r="A16" s="102" t="s">
        <v>111</v>
      </c>
      <c r="B16" s="126">
        <v>92365806</v>
      </c>
      <c r="C16" s="127">
        <v>41176995</v>
      </c>
      <c r="D16" s="127">
        <v>9468116</v>
      </c>
      <c r="E16" s="127">
        <v>67314816</v>
      </c>
      <c r="F16" s="127">
        <v>1670837</v>
      </c>
    </row>
    <row r="17" spans="1:7">
      <c r="A17" s="113" t="s">
        <v>112</v>
      </c>
      <c r="B17" s="120">
        <v>73617085</v>
      </c>
      <c r="C17" s="121">
        <v>103583833</v>
      </c>
      <c r="D17" s="121">
        <v>109757777</v>
      </c>
      <c r="E17" s="121">
        <v>232510850</v>
      </c>
      <c r="F17" s="121">
        <v>213838980</v>
      </c>
    </row>
    <row r="18" spans="1:7" ht="15.6" customHeight="1">
      <c r="A18" s="113" t="s">
        <v>113</v>
      </c>
      <c r="B18" s="120">
        <v>928450869</v>
      </c>
      <c r="C18" s="121">
        <v>1032113567</v>
      </c>
      <c r="D18" s="121">
        <v>1135323913</v>
      </c>
      <c r="E18" s="121">
        <v>1243468471</v>
      </c>
      <c r="F18" s="121">
        <v>1395697611</v>
      </c>
      <c r="G18" s="11"/>
    </row>
    <row r="19" spans="1:7">
      <c r="A19" s="113" t="s">
        <v>114</v>
      </c>
      <c r="B19" s="120"/>
      <c r="C19" s="121">
        <v>52031</v>
      </c>
      <c r="D19" s="121"/>
      <c r="E19" s="121"/>
      <c r="F19" s="121">
        <v>117752</v>
      </c>
    </row>
    <row r="20" spans="1:7">
      <c r="A20" s="113" t="s">
        <v>54</v>
      </c>
      <c r="B20" s="120">
        <v>20431</v>
      </c>
      <c r="C20" s="121">
        <v>14679</v>
      </c>
      <c r="D20" s="121">
        <v>7707</v>
      </c>
      <c r="E20" s="121">
        <v>3298</v>
      </c>
      <c r="F20" s="121">
        <v>365</v>
      </c>
    </row>
    <row r="21" spans="1:7">
      <c r="A21" s="113" t="s">
        <v>55</v>
      </c>
      <c r="B21" s="120">
        <v>21383932</v>
      </c>
      <c r="C21" s="121">
        <v>21240197</v>
      </c>
      <c r="D21" s="121">
        <v>17387747</v>
      </c>
      <c r="E21" s="121">
        <v>25337894</v>
      </c>
      <c r="F21" s="121">
        <v>19912623</v>
      </c>
    </row>
    <row r="22" spans="1:7">
      <c r="A22" s="113" t="s">
        <v>115</v>
      </c>
      <c r="B22" s="120">
        <v>25997753</v>
      </c>
      <c r="C22" s="121">
        <v>33953811</v>
      </c>
      <c r="D22" s="121">
        <v>33609934</v>
      </c>
      <c r="E22" s="121">
        <v>109533756</v>
      </c>
      <c r="F22" s="121">
        <v>43362364</v>
      </c>
    </row>
    <row r="23" spans="1:7">
      <c r="A23" s="467" t="s">
        <v>10</v>
      </c>
      <c r="B23" s="479">
        <v>80882982</v>
      </c>
      <c r="C23" s="480">
        <v>94094979</v>
      </c>
      <c r="D23" s="480">
        <v>109117393</v>
      </c>
      <c r="E23" s="480">
        <v>135646085</v>
      </c>
      <c r="F23" s="480">
        <v>165012666</v>
      </c>
    </row>
    <row r="24" spans="1:7">
      <c r="A24" s="113" t="s">
        <v>116</v>
      </c>
      <c r="B24" s="120">
        <v>42428820</v>
      </c>
      <c r="C24" s="121">
        <v>42428821</v>
      </c>
      <c r="D24" s="121">
        <v>42428821</v>
      </c>
      <c r="E24" s="121">
        <v>53130392</v>
      </c>
      <c r="F24" s="121">
        <v>61696139</v>
      </c>
    </row>
    <row r="25" spans="1:7">
      <c r="A25" s="113" t="s">
        <v>117</v>
      </c>
      <c r="B25" s="120">
        <v>12186141</v>
      </c>
      <c r="C25" s="121">
        <v>14925803</v>
      </c>
      <c r="D25" s="121">
        <v>18173068</v>
      </c>
      <c r="E25" s="121">
        <v>22556958</v>
      </c>
      <c r="F25" s="121">
        <v>27447116</v>
      </c>
    </row>
    <row r="26" spans="1:7">
      <c r="A26" s="113" t="s">
        <v>118</v>
      </c>
      <c r="B26" s="120">
        <v>113011</v>
      </c>
      <c r="C26" s="121"/>
      <c r="D26" s="121"/>
      <c r="E26" s="121"/>
      <c r="F26" s="121"/>
    </row>
    <row r="27" spans="1:7">
      <c r="A27" s="113" t="s">
        <v>119</v>
      </c>
      <c r="B27" s="120">
        <v>16361</v>
      </c>
      <c r="C27" s="121">
        <v>5103</v>
      </c>
      <c r="D27" s="121">
        <v>-5109</v>
      </c>
      <c r="E27" s="121">
        <v>-863071</v>
      </c>
      <c r="F27" s="121">
        <v>-983237</v>
      </c>
    </row>
    <row r="28" spans="1:7">
      <c r="A28" s="113" t="s">
        <v>120</v>
      </c>
      <c r="B28" s="120">
        <v>26055190</v>
      </c>
      <c r="C28" s="121">
        <v>36650228</v>
      </c>
      <c r="D28" s="121">
        <v>48433500</v>
      </c>
      <c r="E28" s="121">
        <v>60733423</v>
      </c>
      <c r="F28" s="121">
        <v>76758658</v>
      </c>
    </row>
    <row r="29" spans="1:7">
      <c r="A29" s="113" t="s">
        <v>121</v>
      </c>
      <c r="B29" s="120">
        <v>83459</v>
      </c>
      <c r="C29" s="121">
        <v>85024</v>
      </c>
      <c r="D29" s="121">
        <v>87113</v>
      </c>
      <c r="E29" s="121">
        <v>88383</v>
      </c>
      <c r="F29" s="121">
        <v>93990</v>
      </c>
    </row>
    <row r="30" spans="1:7" s="5" customFormat="1" ht="18.600000000000001" customHeight="1">
      <c r="A30" s="104" t="s">
        <v>122</v>
      </c>
      <c r="B30" s="122">
        <v>1222718858</v>
      </c>
      <c r="C30" s="123">
        <v>1326230092</v>
      </c>
      <c r="D30" s="123">
        <v>1414672587</v>
      </c>
      <c r="E30" s="123">
        <v>1813815170</v>
      </c>
      <c r="F30" s="123">
        <v>1839613198</v>
      </c>
    </row>
    <row r="31" spans="1:7" s="6" customFormat="1" ht="18.600000000000001" customHeight="1">
      <c r="A31" s="105" t="s">
        <v>123</v>
      </c>
      <c r="B31" s="487">
        <v>3700658435</v>
      </c>
      <c r="C31" s="488">
        <v>3708877448</v>
      </c>
      <c r="D31" s="488">
        <v>4732516571</v>
      </c>
      <c r="E31" s="488">
        <v>4732516571</v>
      </c>
      <c r="F31" s="488">
        <v>5589091262</v>
      </c>
    </row>
    <row r="34" spans="1:6" s="3" customFormat="1">
      <c r="A34" s="9" t="s">
        <v>124</v>
      </c>
    </row>
    <row r="35" spans="1:6">
      <c r="A35" s="145" t="s">
        <v>125</v>
      </c>
      <c r="B35" s="146" t="s">
        <v>93</v>
      </c>
      <c r="C35" s="146" t="s">
        <v>94</v>
      </c>
      <c r="D35" s="146" t="s">
        <v>95</v>
      </c>
      <c r="E35" s="146" t="s">
        <v>96</v>
      </c>
      <c r="F35" s="146" t="s">
        <v>97</v>
      </c>
    </row>
    <row r="36" spans="1:6">
      <c r="A36" s="142" t="s">
        <v>126</v>
      </c>
      <c r="B36" s="136">
        <v>726968213</v>
      </c>
      <c r="C36" s="136">
        <v>832010220</v>
      </c>
      <c r="D36" s="147">
        <v>951443830</v>
      </c>
      <c r="E36" s="147">
        <v>1136450786</v>
      </c>
      <c r="F36" s="137">
        <v>1258418586</v>
      </c>
    </row>
    <row r="37" spans="1:6">
      <c r="A37" s="143" t="s">
        <v>127</v>
      </c>
      <c r="B37" s="138">
        <v>3172630</v>
      </c>
      <c r="C37" s="138">
        <v>2549713</v>
      </c>
      <c r="D37" s="148">
        <v>3879226</v>
      </c>
      <c r="E37" s="148">
        <v>2908120</v>
      </c>
      <c r="F37" s="139">
        <v>3396873</v>
      </c>
    </row>
    <row r="38" spans="1:6">
      <c r="A38" s="143" t="s">
        <v>128</v>
      </c>
      <c r="B38" s="138">
        <v>4429029</v>
      </c>
      <c r="C38" s="138">
        <v>4608056</v>
      </c>
      <c r="D38" s="148">
        <v>4376120</v>
      </c>
      <c r="E38" s="148">
        <v>4991115</v>
      </c>
      <c r="F38" s="139">
        <v>6055394</v>
      </c>
    </row>
    <row r="39" spans="1:6">
      <c r="A39" s="143" t="s">
        <v>129</v>
      </c>
      <c r="B39" s="138">
        <v>1000</v>
      </c>
      <c r="C39" s="138"/>
      <c r="D39" s="148">
        <v>889</v>
      </c>
      <c r="E39" s="148">
        <v>7409</v>
      </c>
      <c r="F39" s="139">
        <v>1646618</v>
      </c>
    </row>
    <row r="40" spans="1:6">
      <c r="A40" s="143" t="s">
        <v>130</v>
      </c>
      <c r="B40" s="138">
        <v>136019</v>
      </c>
      <c r="C40" s="138">
        <v>620272</v>
      </c>
      <c r="D40" s="148">
        <v>1049890</v>
      </c>
      <c r="E40" s="148">
        <v>708820</v>
      </c>
      <c r="F40" s="139">
        <v>841547</v>
      </c>
    </row>
    <row r="41" spans="1:6" s="3" customFormat="1">
      <c r="A41" s="144" t="s">
        <v>131</v>
      </c>
      <c r="B41" s="140">
        <f>SUM(B36:B40)</f>
        <v>734706891</v>
      </c>
      <c r="C41" s="140">
        <f>SUM(C36:C40)</f>
        <v>839788261</v>
      </c>
      <c r="D41" s="140">
        <f>SUM(D36:D40)</f>
        <v>960749955</v>
      </c>
      <c r="E41" s="140">
        <f>SUM(E36:E40)</f>
        <v>1145066250</v>
      </c>
      <c r="F41" s="141">
        <f>SUM(F36:F40)</f>
        <v>1270359018</v>
      </c>
    </row>
    <row r="42" spans="1:6">
      <c r="A42" s="145" t="s">
        <v>132</v>
      </c>
      <c r="B42" s="146"/>
      <c r="C42" s="146"/>
      <c r="D42" s="146"/>
      <c r="E42" s="146"/>
      <c r="F42" s="146"/>
    </row>
    <row r="43" spans="1:6">
      <c r="A43" s="142" t="s">
        <v>133</v>
      </c>
      <c r="B43" s="136">
        <v>384355979</v>
      </c>
      <c r="C43" s="136">
        <v>434373690</v>
      </c>
      <c r="D43" s="147">
        <v>508285894</v>
      </c>
      <c r="E43" s="147">
        <v>651421776</v>
      </c>
      <c r="F43" s="137">
        <v>790604807</v>
      </c>
    </row>
    <row r="44" spans="1:6">
      <c r="A44" s="143" t="s">
        <v>134</v>
      </c>
      <c r="B44" s="138">
        <v>48461992</v>
      </c>
      <c r="C44" s="138">
        <v>43091944</v>
      </c>
      <c r="D44" s="148">
        <v>40535854</v>
      </c>
      <c r="E44" s="148">
        <v>41726956</v>
      </c>
      <c r="F44" s="139">
        <v>46175347</v>
      </c>
    </row>
    <row r="45" spans="1:6">
      <c r="A45" s="143" t="s">
        <v>135</v>
      </c>
      <c r="B45" s="138">
        <v>301888920</v>
      </c>
      <c r="C45" s="138">
        <v>362322627</v>
      </c>
      <c r="D45" s="148">
        <v>411928207</v>
      </c>
      <c r="E45" s="148">
        <v>451917518</v>
      </c>
      <c r="F45" s="139">
        <v>433578864</v>
      </c>
    </row>
    <row r="46" spans="1:6" s="3" customFormat="1">
      <c r="A46" s="153" t="s">
        <v>131</v>
      </c>
      <c r="B46" s="130">
        <f>SUM(B43:B45)</f>
        <v>734706891</v>
      </c>
      <c r="C46" s="130">
        <f>SUM(C43:C45)</f>
        <v>839788261</v>
      </c>
      <c r="D46" s="130">
        <f>SUM(D43:D45)</f>
        <v>960749955</v>
      </c>
      <c r="E46" s="130">
        <f>SUM(E43:E45)</f>
        <v>1145066250</v>
      </c>
      <c r="F46" s="131">
        <f>SUM(F43:F45)</f>
        <v>1270359018</v>
      </c>
    </row>
    <row r="47" spans="1:6">
      <c r="A47" s="145" t="s">
        <v>136</v>
      </c>
      <c r="B47" s="146"/>
      <c r="C47" s="146"/>
      <c r="D47" s="146"/>
      <c r="E47" s="146"/>
      <c r="F47" s="146"/>
    </row>
    <row r="48" spans="1:6">
      <c r="A48" s="142" t="s">
        <v>137</v>
      </c>
      <c r="B48" s="136">
        <v>61597154</v>
      </c>
      <c r="C48" s="136">
        <v>66893804</v>
      </c>
      <c r="D48" s="147">
        <v>60146527</v>
      </c>
      <c r="E48" s="147">
        <v>63930380</v>
      </c>
      <c r="F48" s="137">
        <v>80144585</v>
      </c>
    </row>
    <row r="49" spans="1:6">
      <c r="A49" s="143" t="s">
        <v>138</v>
      </c>
      <c r="B49" s="138">
        <v>139575487</v>
      </c>
      <c r="C49" s="138">
        <v>155046852</v>
      </c>
      <c r="D49" s="148">
        <v>169542086</v>
      </c>
      <c r="E49" s="148">
        <v>203088337</v>
      </c>
      <c r="F49" s="139">
        <v>207339020</v>
      </c>
    </row>
    <row r="50" spans="1:6">
      <c r="A50" s="143" t="s">
        <v>139</v>
      </c>
      <c r="B50" s="138">
        <v>43644729</v>
      </c>
      <c r="C50" s="138">
        <v>52121844</v>
      </c>
      <c r="D50" s="148">
        <v>66611876</v>
      </c>
      <c r="E50" s="148">
        <v>85943755</v>
      </c>
      <c r="F50" s="139">
        <v>109476021</v>
      </c>
    </row>
    <row r="51" spans="1:6">
      <c r="A51" s="143" t="s">
        <v>140</v>
      </c>
      <c r="B51" s="138">
        <v>315781580</v>
      </c>
      <c r="C51" s="138">
        <v>380751584</v>
      </c>
      <c r="D51" s="148">
        <v>448102945</v>
      </c>
      <c r="E51" s="148">
        <v>540349776</v>
      </c>
      <c r="F51" s="139">
        <v>566326189</v>
      </c>
    </row>
    <row r="52" spans="1:6">
      <c r="A52" s="143" t="s">
        <v>141</v>
      </c>
      <c r="B52" s="138">
        <v>2268308</v>
      </c>
      <c r="C52" s="138">
        <v>2653308</v>
      </c>
      <c r="D52" s="148">
        <v>2819975</v>
      </c>
      <c r="E52" s="148">
        <v>2289294</v>
      </c>
      <c r="F52" s="139">
        <v>1212185</v>
      </c>
    </row>
    <row r="53" spans="1:6">
      <c r="A53" s="143" t="s">
        <v>142</v>
      </c>
      <c r="B53" s="138"/>
      <c r="C53" s="138"/>
      <c r="D53" s="148"/>
      <c r="E53" s="148"/>
      <c r="F53" s="139"/>
    </row>
    <row r="54" spans="1:6">
      <c r="A54" s="143" t="s">
        <v>143</v>
      </c>
      <c r="B54" s="138"/>
      <c r="C54" s="138"/>
      <c r="D54" s="148"/>
      <c r="E54" s="148"/>
      <c r="F54" s="139"/>
    </row>
    <row r="55" spans="1:6">
      <c r="A55" s="143" t="s">
        <v>144</v>
      </c>
      <c r="B55" s="138"/>
      <c r="C55" s="138"/>
      <c r="D55" s="148"/>
      <c r="E55" s="148"/>
      <c r="F55" s="139"/>
    </row>
    <row r="56" spans="1:6">
      <c r="A56" s="143" t="s">
        <v>145</v>
      </c>
      <c r="B56" s="138">
        <v>171839633</v>
      </c>
      <c r="C56" s="138">
        <v>182320869</v>
      </c>
      <c r="D56" s="148">
        <v>213526546</v>
      </c>
      <c r="E56" s="148">
        <v>249464708</v>
      </c>
      <c r="F56" s="139">
        <v>305861018</v>
      </c>
    </row>
    <row r="57" spans="1:6" s="3" customFormat="1">
      <c r="A57" s="153" t="s">
        <v>131</v>
      </c>
      <c r="B57" s="130">
        <f>SUM(B48:B56)</f>
        <v>734706891</v>
      </c>
      <c r="C57" s="130">
        <f>SUM(C48:C56)</f>
        <v>839788261</v>
      </c>
      <c r="D57" s="130">
        <f>SUM(D48:D56)</f>
        <v>960749955</v>
      </c>
      <c r="E57" s="130">
        <f>SUM(E48:E56)</f>
        <v>1145066250</v>
      </c>
      <c r="F57" s="131">
        <f>SUM(F48:F56)</f>
        <v>1270359018</v>
      </c>
    </row>
    <row r="58" spans="1:6" s="3" customFormat="1">
      <c r="A58" s="145" t="s">
        <v>146</v>
      </c>
      <c r="B58" s="146"/>
      <c r="C58" s="146"/>
      <c r="D58" s="146"/>
      <c r="E58" s="146"/>
      <c r="F58" s="146"/>
    </row>
    <row r="59" spans="1:6">
      <c r="A59" s="142" t="s">
        <v>147</v>
      </c>
      <c r="B59" s="136">
        <v>174032670</v>
      </c>
      <c r="C59" s="136">
        <v>178521411</v>
      </c>
      <c r="D59" s="147">
        <v>203057429</v>
      </c>
      <c r="E59" s="147">
        <v>243683447</v>
      </c>
      <c r="F59" s="137">
        <v>280386148</v>
      </c>
    </row>
    <row r="60" spans="1:6">
      <c r="A60" s="143" t="s">
        <v>148</v>
      </c>
      <c r="B60" s="138">
        <v>30411521</v>
      </c>
      <c r="C60" s="138">
        <v>40333441</v>
      </c>
      <c r="D60" s="148">
        <v>59813456</v>
      </c>
      <c r="E60" s="148">
        <v>58615950</v>
      </c>
      <c r="F60" s="139">
        <v>54975004</v>
      </c>
    </row>
    <row r="61" spans="1:6">
      <c r="A61" s="143" t="s">
        <v>149</v>
      </c>
      <c r="B61" s="138">
        <v>32357572</v>
      </c>
      <c r="C61" s="138">
        <v>71273525</v>
      </c>
      <c r="D61" s="148">
        <v>86628722</v>
      </c>
      <c r="E61" s="148">
        <v>75113942</v>
      </c>
      <c r="F61" s="139">
        <v>81091024</v>
      </c>
    </row>
    <row r="62" spans="1:6">
      <c r="A62" s="143" t="s">
        <v>150</v>
      </c>
      <c r="B62" s="138">
        <v>24742604</v>
      </c>
      <c r="C62" s="138">
        <v>26843614</v>
      </c>
      <c r="D62" s="148">
        <v>28715341</v>
      </c>
      <c r="E62" s="148">
        <v>31585533</v>
      </c>
      <c r="F62" s="139">
        <v>33448171</v>
      </c>
    </row>
    <row r="63" spans="1:6">
      <c r="A63" s="491" t="s">
        <v>151</v>
      </c>
      <c r="B63" s="492">
        <v>14458842</v>
      </c>
      <c r="C63" s="492">
        <v>14591656</v>
      </c>
      <c r="D63" s="493">
        <v>15084113</v>
      </c>
      <c r="E63" s="493">
        <v>19084011</v>
      </c>
      <c r="F63" s="494">
        <v>20413414</v>
      </c>
    </row>
    <row r="64" spans="1:6">
      <c r="A64" s="495" t="s">
        <v>152</v>
      </c>
      <c r="B64" s="496">
        <v>16122626</v>
      </c>
      <c r="C64" s="496">
        <v>17069197</v>
      </c>
      <c r="D64" s="497">
        <v>25096242</v>
      </c>
      <c r="E64" s="497">
        <v>36100729</v>
      </c>
      <c r="F64" s="498">
        <v>38732650</v>
      </c>
    </row>
    <row r="65" spans="1:6">
      <c r="A65" s="149" t="s">
        <v>153</v>
      </c>
      <c r="B65" s="150">
        <v>12837989</v>
      </c>
      <c r="C65" s="150">
        <v>10166471</v>
      </c>
      <c r="D65" s="151">
        <v>16921726</v>
      </c>
      <c r="E65" s="151">
        <v>18278882</v>
      </c>
      <c r="F65" s="152">
        <v>19622160</v>
      </c>
    </row>
    <row r="66" spans="1:6">
      <c r="A66" s="143" t="s">
        <v>154</v>
      </c>
      <c r="B66" s="138">
        <v>131856583</v>
      </c>
      <c r="C66" s="138">
        <v>202773035</v>
      </c>
      <c r="D66" s="148">
        <v>152212435</v>
      </c>
      <c r="E66" s="148">
        <v>184463459</v>
      </c>
      <c r="F66" s="139">
        <v>204168323</v>
      </c>
    </row>
    <row r="67" spans="1:6">
      <c r="A67" s="143" t="s">
        <v>155</v>
      </c>
      <c r="B67" s="138">
        <v>297886484</v>
      </c>
      <c r="C67" s="138">
        <v>278215911</v>
      </c>
      <c r="D67" s="148">
        <v>373220491</v>
      </c>
      <c r="E67" s="148">
        <v>478140297</v>
      </c>
      <c r="F67" s="139">
        <v>537522124</v>
      </c>
    </row>
    <row r="68" spans="1:6" s="3" customFormat="1">
      <c r="A68" s="153" t="s">
        <v>131</v>
      </c>
      <c r="B68" s="130">
        <f>SUM(B59:B67)</f>
        <v>734706891</v>
      </c>
      <c r="C68" s="130">
        <f>SUM(C59:C67)</f>
        <v>839788261</v>
      </c>
      <c r="D68" s="130">
        <f>SUM(D59:D67)</f>
        <v>960749955</v>
      </c>
      <c r="E68" s="130">
        <f>SUM(E59:E67)</f>
        <v>1145066250</v>
      </c>
      <c r="F68" s="131">
        <f>SUM(F59:F67)</f>
        <v>1270359018</v>
      </c>
    </row>
    <row r="69" spans="1:6">
      <c r="A69" s="145" t="s">
        <v>156</v>
      </c>
      <c r="B69" s="146"/>
      <c r="C69" s="146"/>
      <c r="D69" s="146"/>
      <c r="E69" s="146"/>
      <c r="F69" s="146"/>
    </row>
    <row r="70" spans="1:6" ht="16.5" thickBot="1">
      <c r="A70" s="128"/>
      <c r="B70" s="109" t="s">
        <v>93</v>
      </c>
      <c r="C70" s="109" t="s">
        <v>94</v>
      </c>
      <c r="D70" s="109" t="s">
        <v>95</v>
      </c>
      <c r="E70" s="109" t="s">
        <v>96</v>
      </c>
      <c r="F70" s="110" t="s">
        <v>97</v>
      </c>
    </row>
    <row r="71" spans="1:6">
      <c r="A71" s="142" t="s">
        <v>157</v>
      </c>
      <c r="B71" s="136">
        <v>726342426</v>
      </c>
      <c r="C71" s="136">
        <v>830204517</v>
      </c>
      <c r="D71" s="147">
        <v>951130994</v>
      </c>
      <c r="E71" s="147">
        <v>1133162470</v>
      </c>
      <c r="F71" s="137">
        <v>1252344351</v>
      </c>
    </row>
    <row r="72" spans="1:6">
      <c r="A72" s="143" t="s">
        <v>158</v>
      </c>
      <c r="B72" s="138">
        <v>2560532</v>
      </c>
      <c r="C72" s="138">
        <v>4354175</v>
      </c>
      <c r="D72" s="148">
        <v>3497833</v>
      </c>
      <c r="E72" s="148">
        <v>4083359</v>
      </c>
      <c r="F72" s="139">
        <v>5559700</v>
      </c>
    </row>
    <row r="73" spans="1:6">
      <c r="A73" s="143" t="s">
        <v>159</v>
      </c>
      <c r="B73" s="138">
        <v>686839</v>
      </c>
      <c r="C73" s="138">
        <v>596591</v>
      </c>
      <c r="D73" s="148">
        <v>743995</v>
      </c>
      <c r="E73" s="148">
        <v>414767</v>
      </c>
      <c r="F73" s="139">
        <v>1737243</v>
      </c>
    </row>
    <row r="74" spans="1:6">
      <c r="A74" s="143" t="s">
        <v>160</v>
      </c>
      <c r="B74" s="138">
        <v>587253</v>
      </c>
      <c r="C74" s="138">
        <v>223292</v>
      </c>
      <c r="D74" s="148">
        <v>965987</v>
      </c>
      <c r="E74" s="148">
        <v>782370</v>
      </c>
      <c r="F74" s="139">
        <v>2876975</v>
      </c>
    </row>
    <row r="75" spans="1:6">
      <c r="A75" s="143" t="s">
        <v>161</v>
      </c>
      <c r="B75" s="138">
        <v>4529841</v>
      </c>
      <c r="C75" s="138">
        <v>4409686</v>
      </c>
      <c r="D75" s="148">
        <v>4411146</v>
      </c>
      <c r="E75" s="148">
        <v>6623284</v>
      </c>
      <c r="F75" s="139">
        <v>7840749</v>
      </c>
    </row>
    <row r="76" spans="1:6">
      <c r="A76" s="153" t="s">
        <v>162</v>
      </c>
      <c r="B76" s="130">
        <f>SUM(B71:B75)</f>
        <v>734706891</v>
      </c>
      <c r="C76" s="130">
        <f>SUM(C71:C75)</f>
        <v>839788261</v>
      </c>
      <c r="D76" s="130">
        <f>SUM(D71:D75)</f>
        <v>960749955</v>
      </c>
      <c r="E76" s="130">
        <f>SUM(E71:E75)</f>
        <v>1145066250</v>
      </c>
      <c r="F76" s="131">
        <f>SUM(F71:F75)</f>
        <v>1270359018</v>
      </c>
    </row>
    <row r="81" spans="1:6" s="7" customFormat="1">
      <c r="A81" s="7" t="s">
        <v>163</v>
      </c>
    </row>
    <row r="82" spans="1:6">
      <c r="A82" s="145" t="s">
        <v>164</v>
      </c>
      <c r="B82" s="146" t="s">
        <v>93</v>
      </c>
      <c r="C82" s="146" t="s">
        <v>94</v>
      </c>
      <c r="D82" s="146" t="s">
        <v>95</v>
      </c>
      <c r="E82" s="146" t="s">
        <v>96</v>
      </c>
      <c r="F82" s="146" t="s">
        <v>97</v>
      </c>
    </row>
    <row r="83" spans="1:6">
      <c r="A83" s="142" t="s">
        <v>165</v>
      </c>
      <c r="B83" s="136">
        <v>262977124</v>
      </c>
      <c r="C83" s="136">
        <v>307026182</v>
      </c>
      <c r="D83" s="147">
        <v>367149083</v>
      </c>
      <c r="E83" s="147">
        <v>402103803</v>
      </c>
      <c r="F83" s="137">
        <v>461311977</v>
      </c>
    </row>
    <row r="84" spans="1:6">
      <c r="A84" s="143" t="s">
        <v>166</v>
      </c>
      <c r="B84" s="138">
        <v>642710681</v>
      </c>
      <c r="C84" s="138">
        <v>693604644</v>
      </c>
      <c r="D84" s="148">
        <v>730223470</v>
      </c>
      <c r="E84" s="148">
        <v>821676266</v>
      </c>
      <c r="F84" s="139">
        <v>904764077</v>
      </c>
    </row>
    <row r="85" spans="1:6">
      <c r="A85" s="143" t="s">
        <v>167</v>
      </c>
      <c r="B85" s="138">
        <v>21019106</v>
      </c>
      <c r="C85" s="138">
        <v>27325921</v>
      </c>
      <c r="D85" s="148">
        <v>31642014</v>
      </c>
      <c r="E85" s="148">
        <v>9839982</v>
      </c>
      <c r="F85" s="139">
        <v>17801433</v>
      </c>
    </row>
    <row r="86" spans="1:6">
      <c r="A86" s="143" t="s">
        <v>168</v>
      </c>
      <c r="B86" s="138">
        <v>1743958</v>
      </c>
      <c r="C86" s="138">
        <v>4156820</v>
      </c>
      <c r="D86" s="148">
        <v>6309346</v>
      </c>
      <c r="E86" s="148">
        <v>9848420</v>
      </c>
      <c r="F86" s="139">
        <v>11820124</v>
      </c>
    </row>
    <row r="87" spans="1:6" s="3" customFormat="1">
      <c r="A87" s="153" t="s">
        <v>169</v>
      </c>
      <c r="B87" s="134">
        <f>SUM(B83:B86)</f>
        <v>928450869</v>
      </c>
      <c r="C87" s="134">
        <f>SUM(C83:C86)</f>
        <v>1032113567</v>
      </c>
      <c r="D87" s="134">
        <f>SUM(D83:D86)</f>
        <v>1135323913</v>
      </c>
      <c r="E87" s="134">
        <f>SUM(E83:E86)</f>
        <v>1243468471</v>
      </c>
      <c r="F87" s="135">
        <f>SUM(F83:F86)</f>
        <v>1395697611</v>
      </c>
    </row>
    <row r="88" spans="1:6" s="5" customFormat="1">
      <c r="A88" s="145" t="s">
        <v>170</v>
      </c>
      <c r="B88" s="146"/>
      <c r="C88" s="146"/>
      <c r="D88" s="146"/>
      <c r="E88" s="146"/>
      <c r="F88" s="146"/>
    </row>
    <row r="89" spans="1:6">
      <c r="A89" s="142" t="s">
        <v>171</v>
      </c>
      <c r="B89" s="136">
        <v>461608933</v>
      </c>
      <c r="C89" s="136">
        <v>522325061</v>
      </c>
      <c r="D89" s="147">
        <v>569423275</v>
      </c>
      <c r="E89" s="147">
        <v>637317087</v>
      </c>
      <c r="F89" s="137">
        <v>701076891</v>
      </c>
    </row>
    <row r="90" spans="1:6">
      <c r="A90" s="143" t="s">
        <v>60</v>
      </c>
      <c r="B90" s="138">
        <v>466841936</v>
      </c>
      <c r="C90" s="138">
        <v>509788506</v>
      </c>
      <c r="D90" s="148">
        <v>565900638</v>
      </c>
      <c r="E90" s="148">
        <v>606151384</v>
      </c>
      <c r="F90" s="139">
        <v>694620720</v>
      </c>
    </row>
    <row r="91" spans="1:6" s="3" customFormat="1">
      <c r="A91" s="153" t="s">
        <v>169</v>
      </c>
      <c r="B91" s="134">
        <f>B89+B90</f>
        <v>928450869</v>
      </c>
      <c r="C91" s="134">
        <f>C89+C90</f>
        <v>1032113567</v>
      </c>
      <c r="D91" s="134">
        <f>D89+D90</f>
        <v>1135323913</v>
      </c>
      <c r="E91" s="134">
        <f>E89+E90</f>
        <v>1243468471</v>
      </c>
      <c r="F91" s="135">
        <f>F89+F90</f>
        <v>1395697611</v>
      </c>
    </row>
    <row r="93" spans="1:6">
      <c r="A93" s="7" t="s">
        <v>172</v>
      </c>
    </row>
    <row r="94" spans="1:6">
      <c r="B94" s="13" t="s">
        <v>93</v>
      </c>
      <c r="C94" s="13" t="s">
        <v>94</v>
      </c>
      <c r="D94" s="13" t="s">
        <v>95</v>
      </c>
      <c r="E94" s="13" t="s">
        <v>96</v>
      </c>
      <c r="F94" s="13" t="s">
        <v>97</v>
      </c>
    </row>
    <row r="95" spans="1:6">
      <c r="A95" s="142" t="s">
        <v>173</v>
      </c>
      <c r="B95" s="154"/>
      <c r="C95" s="154">
        <v>268036045</v>
      </c>
      <c r="D95" s="154">
        <v>282882615</v>
      </c>
      <c r="E95" s="154">
        <v>298907564</v>
      </c>
      <c r="F95" s="155">
        <v>772395442</v>
      </c>
    </row>
    <row r="96" spans="1:6">
      <c r="A96" s="143" t="s">
        <v>174</v>
      </c>
      <c r="B96" s="156"/>
      <c r="C96" s="156">
        <v>200376333</v>
      </c>
      <c r="D96" s="156">
        <v>186742490</v>
      </c>
      <c r="E96" s="156">
        <v>183094249</v>
      </c>
      <c r="F96" s="157">
        <v>207338036</v>
      </c>
    </row>
    <row r="97" spans="1:9">
      <c r="A97" s="143" t="s">
        <v>175</v>
      </c>
      <c r="B97" s="156"/>
      <c r="C97" s="156">
        <v>303749974</v>
      </c>
      <c r="D97" s="156">
        <v>322343976</v>
      </c>
      <c r="E97" s="156">
        <v>425479160</v>
      </c>
      <c r="F97" s="157">
        <v>408839382</v>
      </c>
    </row>
    <row r="98" spans="1:9">
      <c r="A98" s="143" t="s">
        <v>176</v>
      </c>
      <c r="B98" s="156"/>
      <c r="C98" s="156">
        <v>56088901</v>
      </c>
      <c r="D98" s="156">
        <v>46328445</v>
      </c>
      <c r="E98" s="156">
        <v>105224492</v>
      </c>
      <c r="F98" s="157">
        <v>7092985</v>
      </c>
    </row>
    <row r="99" spans="1:9">
      <c r="A99" s="143" t="s">
        <v>177</v>
      </c>
      <c r="B99" s="156"/>
      <c r="C99" s="156">
        <v>203862314</v>
      </c>
      <c r="D99" s="156">
        <v>297026387</v>
      </c>
      <c r="E99" s="156">
        <v>231795424</v>
      </c>
      <c r="F99" s="157">
        <v>28766</v>
      </c>
    </row>
    <row r="100" spans="1:9">
      <c r="A100" s="153" t="s">
        <v>169</v>
      </c>
      <c r="B100" s="134">
        <f>SUM(B95:B99)</f>
        <v>0</v>
      </c>
      <c r="C100" s="134">
        <f>SUM(C95:C99)</f>
        <v>1032113567</v>
      </c>
      <c r="D100" s="134">
        <f>SUM(D95:D99)</f>
        <v>1135323913</v>
      </c>
      <c r="E100" s="134">
        <f>SUM(E95:E99)</f>
        <v>1244500889</v>
      </c>
      <c r="F100" s="135">
        <f>SUM(F95:F99)</f>
        <v>1395694611</v>
      </c>
      <c r="I100" s="12"/>
    </row>
    <row r="103" spans="1:9">
      <c r="A103" s="163" t="s">
        <v>178</v>
      </c>
      <c r="B103" s="454">
        <v>2019</v>
      </c>
      <c r="C103" s="454">
        <v>2020</v>
      </c>
      <c r="D103" s="454">
        <v>2021</v>
      </c>
      <c r="E103" s="454">
        <v>2022</v>
      </c>
      <c r="F103" s="455">
        <v>2023</v>
      </c>
    </row>
    <row r="104" spans="1:9">
      <c r="A104" s="129" t="s">
        <v>179</v>
      </c>
      <c r="B104" s="10">
        <v>1801126</v>
      </c>
      <c r="C104" s="10">
        <v>1954061</v>
      </c>
      <c r="D104" s="10">
        <v>2766098</v>
      </c>
      <c r="E104" s="10">
        <v>1499687</v>
      </c>
      <c r="F104" s="133">
        <v>2495408</v>
      </c>
    </row>
    <row r="105" spans="1:9">
      <c r="A105" s="129" t="s">
        <v>180</v>
      </c>
      <c r="B105" s="10">
        <v>35699090</v>
      </c>
      <c r="C105" s="10">
        <v>42148831</v>
      </c>
      <c r="D105" s="10">
        <v>71122502</v>
      </c>
      <c r="E105" s="10">
        <v>100739670</v>
      </c>
      <c r="F105" s="133">
        <v>67882480</v>
      </c>
    </row>
    <row r="106" spans="1:9">
      <c r="A106" s="129" t="s">
        <v>181</v>
      </c>
      <c r="B106" s="10">
        <v>132271302</v>
      </c>
      <c r="C106" s="10">
        <v>115382544</v>
      </c>
      <c r="D106" s="10">
        <v>99657595</v>
      </c>
      <c r="E106" s="10">
        <v>95513376</v>
      </c>
      <c r="F106" s="133">
        <v>78009747</v>
      </c>
    </row>
    <row r="107" spans="1:9">
      <c r="A107" s="132" t="s">
        <v>182</v>
      </c>
      <c r="B107" s="161">
        <v>2464493</v>
      </c>
      <c r="C107" s="161">
        <v>2239006</v>
      </c>
      <c r="D107" s="161">
        <v>2346176</v>
      </c>
      <c r="E107" s="161">
        <v>2193535</v>
      </c>
      <c r="F107" s="162">
        <v>2224945</v>
      </c>
    </row>
    <row r="109" spans="1:9">
      <c r="A109" s="163" t="s">
        <v>183</v>
      </c>
      <c r="B109" s="454">
        <v>2019</v>
      </c>
      <c r="C109" s="454">
        <v>2020</v>
      </c>
      <c r="D109" s="454">
        <v>2021</v>
      </c>
      <c r="E109" s="454">
        <v>2022</v>
      </c>
      <c r="F109" s="455">
        <v>2023</v>
      </c>
    </row>
    <row r="110" spans="1:9">
      <c r="A110" s="129" t="s">
        <v>184</v>
      </c>
      <c r="B110" s="10">
        <v>13778358</v>
      </c>
      <c r="C110" s="10">
        <v>15095394</v>
      </c>
      <c r="D110" s="10">
        <v>18011766</v>
      </c>
      <c r="E110" s="10">
        <v>18348534</v>
      </c>
      <c r="F110" s="133">
        <v>14504849</v>
      </c>
    </row>
    <row r="111" spans="1:9">
      <c r="A111" s="129" t="s">
        <v>185</v>
      </c>
      <c r="B111" s="10">
        <v>34684091</v>
      </c>
      <c r="C111" s="10">
        <v>33139373</v>
      </c>
      <c r="D111" s="10">
        <v>22506711</v>
      </c>
      <c r="E111" s="10">
        <v>92557809</v>
      </c>
      <c r="F111" s="133">
        <v>58104503</v>
      </c>
    </row>
    <row r="112" spans="1:9">
      <c r="A112" s="129" t="s">
        <v>186</v>
      </c>
      <c r="B112" s="10">
        <v>249470372</v>
      </c>
      <c r="C112" s="10">
        <v>267969645</v>
      </c>
      <c r="D112" s="10">
        <v>225764546</v>
      </c>
      <c r="E112" s="10">
        <v>313637444</v>
      </c>
      <c r="F112" s="133">
        <v>336468607</v>
      </c>
    </row>
    <row r="113" spans="1:6">
      <c r="A113" s="132" t="s">
        <v>19</v>
      </c>
      <c r="B113" s="161">
        <f>SUM(B110:B112)</f>
        <v>297932821</v>
      </c>
      <c r="C113" s="161">
        <f t="shared" ref="C113:E113" si="1">SUM(C110:C112)</f>
        <v>316204412</v>
      </c>
      <c r="D113" s="161">
        <f t="shared" si="1"/>
        <v>266283023</v>
      </c>
      <c r="E113" s="161">
        <f t="shared" si="1"/>
        <v>424543787</v>
      </c>
      <c r="F113" s="162">
        <f>SUM(F110:F112)</f>
        <v>409077959</v>
      </c>
    </row>
    <row r="116" spans="1:6">
      <c r="A116" s="485" t="s">
        <v>187</v>
      </c>
      <c r="B116" s="485">
        <v>2019</v>
      </c>
      <c r="C116" s="485">
        <v>2020</v>
      </c>
      <c r="D116" s="485">
        <v>2021</v>
      </c>
      <c r="E116" s="485">
        <v>2022</v>
      </c>
      <c r="F116" s="485">
        <v>2023</v>
      </c>
    </row>
    <row r="117" spans="1:6">
      <c r="A117" s="129" t="s">
        <v>188</v>
      </c>
      <c r="B117" s="10">
        <v>292563</v>
      </c>
      <c r="C117" s="10">
        <v>654296</v>
      </c>
      <c r="D117" s="10">
        <v>2447477</v>
      </c>
      <c r="E117" s="10">
        <v>2151637</v>
      </c>
      <c r="F117" s="133">
        <v>306384</v>
      </c>
    </row>
    <row r="118" spans="1:6">
      <c r="A118" s="129" t="s">
        <v>189</v>
      </c>
      <c r="B118" s="10">
        <v>91594629</v>
      </c>
      <c r="C118" s="10">
        <v>116656912</v>
      </c>
      <c r="D118" s="10">
        <v>81044022</v>
      </c>
      <c r="E118" s="10">
        <v>83320732</v>
      </c>
      <c r="F118" s="133">
        <v>111435962</v>
      </c>
    </row>
    <row r="119" spans="1:6">
      <c r="A119" s="129" t="s">
        <v>190</v>
      </c>
      <c r="B119" s="10">
        <v>57406598</v>
      </c>
      <c r="C119" s="10">
        <v>45980494</v>
      </c>
      <c r="D119" s="10">
        <v>65378199</v>
      </c>
      <c r="E119" s="10">
        <v>84748838</v>
      </c>
      <c r="F119" s="133">
        <v>76546157</v>
      </c>
    </row>
    <row r="120" spans="1:6">
      <c r="A120" s="129" t="s">
        <v>191</v>
      </c>
      <c r="B120" s="10">
        <v>53276574</v>
      </c>
      <c r="C120" s="10">
        <v>50892327</v>
      </c>
      <c r="D120" s="10">
        <v>51576893</v>
      </c>
      <c r="E120" s="10">
        <v>48477552</v>
      </c>
      <c r="F120" s="133">
        <v>53731430</v>
      </c>
    </row>
    <row r="121" spans="1:6">
      <c r="A121" s="129" t="s">
        <v>192</v>
      </c>
      <c r="B121" s="10">
        <v>349311</v>
      </c>
      <c r="C121" s="10">
        <v>680372</v>
      </c>
      <c r="D121" s="10">
        <v>196990</v>
      </c>
      <c r="E121" s="10">
        <v>35760608</v>
      </c>
      <c r="F121" s="133">
        <v>41472190</v>
      </c>
    </row>
    <row r="122" spans="1:6">
      <c r="A122" s="186" t="s">
        <v>193</v>
      </c>
      <c r="B122" s="184">
        <f>SUM(B117:B121)</f>
        <v>202919675</v>
      </c>
      <c r="C122" s="184">
        <f>SUM(C117:C121)</f>
        <v>214864401</v>
      </c>
      <c r="D122" s="184">
        <f>SUM(D117:D121)</f>
        <v>200643581</v>
      </c>
      <c r="E122" s="184">
        <f>SUM(E117:E121)</f>
        <v>254459367</v>
      </c>
      <c r="F122" s="185">
        <f>SUM(F117:F121)</f>
        <v>283492123</v>
      </c>
    </row>
    <row r="125" spans="1:6">
      <c r="A125" s="169" t="s">
        <v>194</v>
      </c>
      <c r="B125" s="169">
        <v>2019</v>
      </c>
      <c r="C125" s="169">
        <v>2020</v>
      </c>
      <c r="D125" s="169">
        <v>2021</v>
      </c>
      <c r="E125" s="169">
        <v>2022</v>
      </c>
      <c r="F125" s="169">
        <v>2023</v>
      </c>
    </row>
    <row r="126" spans="1:6">
      <c r="A126" s="170" t="s">
        <v>195</v>
      </c>
      <c r="B126" s="171"/>
      <c r="C126" s="171">
        <v>333453837</v>
      </c>
      <c r="D126" s="171">
        <v>290398655</v>
      </c>
      <c r="E126" s="171">
        <v>555098737</v>
      </c>
      <c r="F126" s="172">
        <v>500526179</v>
      </c>
    </row>
    <row r="127" spans="1:6">
      <c r="A127" s="166" t="s">
        <v>196</v>
      </c>
      <c r="B127" s="173"/>
      <c r="C127" s="173">
        <v>409094423</v>
      </c>
      <c r="D127" s="173">
        <v>392316625</v>
      </c>
      <c r="E127" s="173">
        <v>609133384</v>
      </c>
      <c r="F127" s="174">
        <v>988964918</v>
      </c>
    </row>
    <row r="128" spans="1:6">
      <c r="A128" s="167" t="s">
        <v>197</v>
      </c>
      <c r="B128" s="175"/>
      <c r="C128" s="175">
        <f>C126-C127</f>
        <v>-75640586</v>
      </c>
      <c r="D128" s="175">
        <f t="shared" ref="D128:E128" si="2">D126-D127</f>
        <v>-101917970</v>
      </c>
      <c r="E128" s="175">
        <f t="shared" si="2"/>
        <v>-54034647</v>
      </c>
      <c r="F128" s="176">
        <f>F126-F127</f>
        <v>-488438739</v>
      </c>
    </row>
    <row r="129" spans="1:6">
      <c r="A129" s="166" t="s">
        <v>198</v>
      </c>
      <c r="B129" s="173"/>
      <c r="C129" s="173">
        <v>204355416</v>
      </c>
      <c r="D129" s="173">
        <v>248893540</v>
      </c>
      <c r="E129" s="173">
        <v>302204517</v>
      </c>
      <c r="F129" s="174">
        <v>303868568</v>
      </c>
    </row>
    <row r="130" spans="1:6">
      <c r="A130" s="166" t="s">
        <v>199</v>
      </c>
      <c r="B130" s="173"/>
      <c r="C130" s="173">
        <v>234130048</v>
      </c>
      <c r="D130" s="173">
        <v>219514136</v>
      </c>
      <c r="E130" s="173">
        <v>272589184</v>
      </c>
      <c r="F130" s="174">
        <v>235591120</v>
      </c>
    </row>
    <row r="131" spans="1:6">
      <c r="A131" s="167" t="s">
        <v>200</v>
      </c>
      <c r="B131" s="175"/>
      <c r="C131" s="175">
        <f>C129-C130</f>
        <v>-29774632</v>
      </c>
      <c r="D131" s="175">
        <f t="shared" ref="D131:E131" si="3">D129-D130</f>
        <v>29379404</v>
      </c>
      <c r="E131" s="175">
        <f t="shared" si="3"/>
        <v>29615333</v>
      </c>
      <c r="F131" s="176">
        <f>F129-F130</f>
        <v>68277448</v>
      </c>
    </row>
    <row r="132" spans="1:6">
      <c r="A132" s="166" t="s">
        <v>201</v>
      </c>
      <c r="B132" s="173"/>
      <c r="C132" s="173">
        <v>324446498</v>
      </c>
      <c r="D132" s="173">
        <v>338745379</v>
      </c>
      <c r="E132" s="173">
        <v>419302841</v>
      </c>
      <c r="F132" s="174">
        <v>527101905</v>
      </c>
    </row>
    <row r="133" spans="1:6">
      <c r="A133" s="166" t="s">
        <v>202</v>
      </c>
      <c r="B133" s="173"/>
      <c r="C133" s="173">
        <v>306853584</v>
      </c>
      <c r="D133" s="173">
        <v>334057043</v>
      </c>
      <c r="E133" s="173">
        <v>440584096</v>
      </c>
      <c r="F133" s="174">
        <v>430531272</v>
      </c>
    </row>
    <row r="134" spans="1:6">
      <c r="A134" s="167" t="s">
        <v>203</v>
      </c>
      <c r="B134" s="175"/>
      <c r="C134" s="175">
        <f>C132-C133</f>
        <v>17592914</v>
      </c>
      <c r="D134" s="175">
        <f t="shared" ref="D134:E134" si="4">D132-D133</f>
        <v>4688336</v>
      </c>
      <c r="E134" s="175">
        <f t="shared" si="4"/>
        <v>-21281255</v>
      </c>
      <c r="F134" s="176">
        <f>F132-F133</f>
        <v>96570633</v>
      </c>
    </row>
    <row r="135" spans="1:6">
      <c r="A135" s="181" t="s">
        <v>204</v>
      </c>
      <c r="B135" s="182"/>
      <c r="C135" s="182">
        <f>C126+C129+C132</f>
        <v>862255751</v>
      </c>
      <c r="D135" s="182">
        <f t="shared" ref="D135:F135" si="5">D126+D129+D132</f>
        <v>878037574</v>
      </c>
      <c r="E135" s="182">
        <f t="shared" si="5"/>
        <v>1276606095</v>
      </c>
      <c r="F135" s="183">
        <f t="shared" si="5"/>
        <v>1331496652</v>
      </c>
    </row>
    <row r="136" spans="1:6">
      <c r="A136" s="166" t="s">
        <v>205</v>
      </c>
      <c r="B136" s="177"/>
      <c r="C136" s="177">
        <f>C128/C135</f>
        <v>-8.7724072483455082E-2</v>
      </c>
      <c r="D136" s="177">
        <f t="shared" ref="D136:F136" si="6">D128/D135</f>
        <v>-0.11607472506637853</v>
      </c>
      <c r="E136" s="177">
        <f t="shared" si="6"/>
        <v>-4.2326796974911825E-2</v>
      </c>
      <c r="F136" s="178">
        <f t="shared" si="6"/>
        <v>-0.36683437263348073</v>
      </c>
    </row>
    <row r="137" spans="1:6">
      <c r="A137" s="166" t="s">
        <v>206</v>
      </c>
      <c r="B137" s="177"/>
      <c r="C137" s="177">
        <f>C131/C135</f>
        <v>-3.4531091228407473E-2</v>
      </c>
      <c r="D137" s="177">
        <f t="shared" ref="D137:F137" si="7">D131/D135</f>
        <v>3.3460303829776654E-2</v>
      </c>
      <c r="E137" s="177">
        <f t="shared" si="7"/>
        <v>2.3198489429113997E-2</v>
      </c>
      <c r="F137" s="178">
        <f t="shared" si="7"/>
        <v>5.1278723005005349E-2</v>
      </c>
    </row>
    <row r="138" spans="1:6">
      <c r="A138" s="168" t="s">
        <v>207</v>
      </c>
      <c r="B138" s="179"/>
      <c r="C138" s="179">
        <f>C134/C135</f>
        <v>2.0403359420446476E-2</v>
      </c>
      <c r="D138" s="179">
        <f t="shared" ref="D138:F138" si="8">D134/D135</f>
        <v>5.3395619263100005E-3</v>
      </c>
      <c r="E138" s="179">
        <f t="shared" si="8"/>
        <v>-1.6670181259004564E-2</v>
      </c>
      <c r="F138" s="180">
        <f t="shared" si="8"/>
        <v>7.2527882706234545E-2</v>
      </c>
    </row>
    <row r="141" spans="1:6">
      <c r="A141" s="169" t="s">
        <v>208</v>
      </c>
      <c r="B141" s="164">
        <v>2019</v>
      </c>
      <c r="C141" s="164">
        <v>2020</v>
      </c>
      <c r="D141" s="164">
        <v>2021</v>
      </c>
      <c r="E141" s="164">
        <v>2022</v>
      </c>
      <c r="F141" s="165">
        <v>2023</v>
      </c>
    </row>
    <row r="142" spans="1:6">
      <c r="A142" s="170" t="s">
        <v>209</v>
      </c>
      <c r="B142" s="171"/>
      <c r="C142" s="171">
        <v>421708157</v>
      </c>
      <c r="D142" s="171">
        <v>383352347</v>
      </c>
      <c r="E142" s="171">
        <v>623613025</v>
      </c>
      <c r="F142" s="172">
        <v>612058937</v>
      </c>
    </row>
    <row r="143" spans="1:6">
      <c r="A143" s="166" t="s">
        <v>210</v>
      </c>
      <c r="B143" s="173"/>
      <c r="C143" s="173">
        <v>712815464</v>
      </c>
      <c r="D143" s="173">
        <v>747657499</v>
      </c>
      <c r="E143" s="173">
        <v>959088489</v>
      </c>
      <c r="F143" s="174">
        <v>982706166</v>
      </c>
    </row>
    <row r="144" spans="1:6">
      <c r="A144" s="167" t="s">
        <v>211</v>
      </c>
      <c r="B144" s="175"/>
      <c r="C144" s="175">
        <f t="shared" ref="C144:F144" si="9">C142-C143</f>
        <v>-291107307</v>
      </c>
      <c r="D144" s="175">
        <f t="shared" si="9"/>
        <v>-364305152</v>
      </c>
      <c r="E144" s="175">
        <f t="shared" si="9"/>
        <v>-335475464</v>
      </c>
      <c r="F144" s="176">
        <f t="shared" si="9"/>
        <v>-370647229</v>
      </c>
    </row>
    <row r="145" spans="1:6">
      <c r="A145" s="166" t="s">
        <v>212</v>
      </c>
      <c r="B145" s="173"/>
      <c r="C145" s="173">
        <v>303287357</v>
      </c>
      <c r="D145" s="173">
        <v>348953279</v>
      </c>
      <c r="E145" s="173">
        <v>438743667</v>
      </c>
      <c r="F145" s="174">
        <v>467270560</v>
      </c>
    </row>
    <row r="146" spans="1:6">
      <c r="A146" s="166" t="s">
        <v>213</v>
      </c>
      <c r="B146" s="173"/>
      <c r="C146" s="173">
        <v>187098381</v>
      </c>
      <c r="D146" s="173">
        <v>181824385</v>
      </c>
      <c r="E146" s="173">
        <v>186280821</v>
      </c>
      <c r="F146" s="174">
        <v>212359657</v>
      </c>
    </row>
    <row r="147" spans="1:6">
      <c r="A147" s="167" t="s">
        <v>214</v>
      </c>
      <c r="B147" s="175"/>
      <c r="C147" s="175">
        <f t="shared" ref="C147:F147" si="10">C145-C146</f>
        <v>116188976</v>
      </c>
      <c r="D147" s="175">
        <f t="shared" si="10"/>
        <v>167128894</v>
      </c>
      <c r="E147" s="175">
        <f t="shared" si="10"/>
        <v>252462846</v>
      </c>
      <c r="F147" s="176">
        <f t="shared" si="10"/>
        <v>254910903</v>
      </c>
    </row>
    <row r="148" spans="1:6">
      <c r="A148" s="166" t="s">
        <v>215</v>
      </c>
      <c r="B148" s="173"/>
      <c r="C148" s="173">
        <v>237518949</v>
      </c>
      <c r="D148" s="173">
        <v>285860265</v>
      </c>
      <c r="E148" s="173">
        <v>376536067</v>
      </c>
      <c r="F148" s="174">
        <v>426882640</v>
      </c>
    </row>
    <row r="149" spans="1:6">
      <c r="A149" s="166" t="s">
        <v>216</v>
      </c>
      <c r="B149" s="173"/>
      <c r="C149" s="173">
        <v>109158065</v>
      </c>
      <c r="D149" s="173">
        <v>133440417</v>
      </c>
      <c r="E149" s="173">
        <v>174878104</v>
      </c>
      <c r="F149" s="174">
        <v>214078589</v>
      </c>
    </row>
    <row r="150" spans="1:6">
      <c r="A150" s="167" t="s">
        <v>217</v>
      </c>
      <c r="B150" s="175"/>
      <c r="C150" s="175">
        <f t="shared" ref="C150" si="11">C148-C149</f>
        <v>128360884</v>
      </c>
      <c r="D150" s="175">
        <f t="shared" ref="D150" si="12">D148-D149</f>
        <v>152419848</v>
      </c>
      <c r="E150" s="175">
        <f t="shared" ref="E150" si="13">E148-E149</f>
        <v>201657963</v>
      </c>
      <c r="F150" s="176">
        <f t="shared" ref="F150" si="14">F148-F149</f>
        <v>212804051</v>
      </c>
    </row>
    <row r="151" spans="1:6">
      <c r="A151" s="166" t="s">
        <v>218</v>
      </c>
      <c r="B151" s="173"/>
      <c r="C151" s="173">
        <v>129167191</v>
      </c>
      <c r="D151" s="173">
        <v>118711117</v>
      </c>
      <c r="E151" s="173">
        <v>102658955</v>
      </c>
      <c r="F151" s="174">
        <v>115598977</v>
      </c>
    </row>
    <row r="152" spans="1:6">
      <c r="A152" s="166" t="s">
        <v>219</v>
      </c>
      <c r="B152" s="173"/>
      <c r="C152" s="173">
        <v>174928301</v>
      </c>
      <c r="D152" s="173">
        <v>181639889</v>
      </c>
      <c r="E152" s="173">
        <v>221623827</v>
      </c>
      <c r="F152" s="174">
        <v>214062079</v>
      </c>
    </row>
    <row r="153" spans="1:6">
      <c r="A153" s="167" t="s">
        <v>220</v>
      </c>
      <c r="B153" s="175"/>
      <c r="C153" s="175">
        <f>C151-C152</f>
        <v>-45761110</v>
      </c>
      <c r="D153" s="175">
        <f t="shared" ref="D153" si="15">D151-D152</f>
        <v>-62928772</v>
      </c>
      <c r="E153" s="175">
        <f t="shared" ref="E153" si="16">E151-E152</f>
        <v>-118964872</v>
      </c>
      <c r="F153" s="176">
        <f t="shared" ref="F153" si="17">F151-F152</f>
        <v>-98463102</v>
      </c>
    </row>
    <row r="154" spans="1:6">
      <c r="A154" s="181" t="s">
        <v>204</v>
      </c>
      <c r="B154" s="182"/>
      <c r="C154" s="182">
        <f>(C142+C145+C148+C151)</f>
        <v>1091681654</v>
      </c>
      <c r="D154" s="182">
        <f t="shared" ref="D154:F154" si="18">(D142+D145+D148+D151)</f>
        <v>1136877008</v>
      </c>
      <c r="E154" s="182">
        <f t="shared" si="18"/>
        <v>1541551714</v>
      </c>
      <c r="F154" s="182">
        <f t="shared" si="18"/>
        <v>1621811114</v>
      </c>
    </row>
    <row r="155" spans="1:6">
      <c r="A155" s="166" t="s">
        <v>221</v>
      </c>
      <c r="B155" s="177"/>
      <c r="C155" s="177">
        <f>C144/C154</f>
        <v>-0.26665952105484408</v>
      </c>
      <c r="D155" s="177">
        <f t="shared" ref="D155:E155" si="19">D144/D154</f>
        <v>-0.3204437678275221</v>
      </c>
      <c r="E155" s="177">
        <f t="shared" si="19"/>
        <v>-0.21762193311667261</v>
      </c>
      <c r="F155" s="178">
        <f>F144/F154</f>
        <v>-0.22853908559415631</v>
      </c>
    </row>
    <row r="156" spans="1:6">
      <c r="A156" s="166" t="s">
        <v>222</v>
      </c>
      <c r="B156" s="177"/>
      <c r="C156" s="177">
        <f>C147/C154</f>
        <v>0.10643118859264077</v>
      </c>
      <c r="D156" s="177">
        <f t="shared" ref="D156:E156" si="20">D147/D154</f>
        <v>0.1470070137965179</v>
      </c>
      <c r="E156" s="177">
        <f t="shared" si="20"/>
        <v>0.16377189536179257</v>
      </c>
      <c r="F156" s="178">
        <f>F147/F154</f>
        <v>0.15717669018267685</v>
      </c>
    </row>
    <row r="157" spans="1:6">
      <c r="A157" s="166" t="s">
        <v>223</v>
      </c>
      <c r="B157" s="177"/>
      <c r="C157" s="177">
        <f t="shared" ref="C157:E157" si="21">C150/C154</f>
        <v>0.11758087490952743</v>
      </c>
      <c r="D157" s="177">
        <f t="shared" si="21"/>
        <v>0.13406889833064511</v>
      </c>
      <c r="E157" s="177">
        <f t="shared" si="21"/>
        <v>0.13081491925868663</v>
      </c>
      <c r="F157" s="178">
        <f>F150/F154</f>
        <v>0.13121383197032402</v>
      </c>
    </row>
    <row r="158" spans="1:6">
      <c r="A158" s="168" t="s">
        <v>224</v>
      </c>
      <c r="B158" s="179"/>
      <c r="C158" s="179">
        <f t="shared" ref="C158:F158" si="22">C153/C154</f>
        <v>-4.1917998559679009E-2</v>
      </c>
      <c r="D158" s="179">
        <f t="shared" si="22"/>
        <v>-5.5352313009394589E-2</v>
      </c>
      <c r="E158" s="179">
        <f t="shared" si="22"/>
        <v>-7.7172157715884454E-2</v>
      </c>
      <c r="F158" s="180">
        <f t="shared" si="22"/>
        <v>-6.0711818503421604E-2</v>
      </c>
    </row>
    <row r="162" spans="1:6">
      <c r="A162" s="169" t="s">
        <v>225</v>
      </c>
      <c r="B162" s="169">
        <v>2019</v>
      </c>
      <c r="C162" s="169">
        <v>2020</v>
      </c>
      <c r="D162" s="169">
        <v>2021</v>
      </c>
      <c r="E162" s="169">
        <v>2022</v>
      </c>
      <c r="F162" s="169">
        <v>2023</v>
      </c>
    </row>
    <row r="163" spans="1:6">
      <c r="A163" s="170" t="s">
        <v>226</v>
      </c>
      <c r="B163" s="171">
        <v>109803809</v>
      </c>
      <c r="C163" s="171">
        <v>124105909</v>
      </c>
      <c r="D163" s="171">
        <v>138879634</v>
      </c>
      <c r="E163" s="171">
        <v>167169560</v>
      </c>
      <c r="F163" s="172">
        <v>231641742</v>
      </c>
    </row>
    <row r="164" spans="1:6">
      <c r="A164" s="166" t="s">
        <v>227</v>
      </c>
      <c r="B164" s="173">
        <v>82429392</v>
      </c>
      <c r="C164" s="173">
        <v>93030576</v>
      </c>
      <c r="D164" s="173">
        <v>63043823</v>
      </c>
      <c r="E164" s="173">
        <v>46448485</v>
      </c>
      <c r="F164" s="174">
        <v>53131108</v>
      </c>
    </row>
    <row r="165" spans="1:6">
      <c r="A165" s="166" t="s">
        <v>228</v>
      </c>
      <c r="B165" s="173">
        <v>795024169</v>
      </c>
      <c r="C165" s="173">
        <v>957536579</v>
      </c>
      <c r="D165" s="173">
        <v>1162890412</v>
      </c>
      <c r="E165" s="173">
        <v>1560299529</v>
      </c>
      <c r="F165" s="174">
        <v>1624470066</v>
      </c>
    </row>
    <row r="166" spans="1:6">
      <c r="A166" s="166" t="s">
        <v>229</v>
      </c>
      <c r="B166" s="173">
        <v>243180100</v>
      </c>
      <c r="C166" s="173">
        <v>266888049</v>
      </c>
      <c r="D166" s="173">
        <v>268181578</v>
      </c>
      <c r="E166" s="173">
        <v>336270072</v>
      </c>
      <c r="F166" s="174">
        <v>348655700</v>
      </c>
    </row>
    <row r="167" spans="1:6">
      <c r="A167" s="187" t="s">
        <v>169</v>
      </c>
      <c r="B167" s="188">
        <f>SUM(B163:B166)</f>
        <v>1230437470</v>
      </c>
      <c r="C167" s="188">
        <f>SUM(C163:C166)</f>
        <v>1441561113</v>
      </c>
      <c r="D167" s="188">
        <f>SUM(D163:D166)</f>
        <v>1632995447</v>
      </c>
      <c r="E167" s="188">
        <f>SUM(E163:E166)</f>
        <v>2110187646</v>
      </c>
      <c r="F167" s="189">
        <f>SUM(F163:F166)</f>
        <v>2257898616</v>
      </c>
    </row>
    <row r="170" spans="1:6">
      <c r="A170" s="169" t="s">
        <v>230</v>
      </c>
      <c r="B170" s="169">
        <v>2019</v>
      </c>
      <c r="C170" s="169">
        <v>2020</v>
      </c>
      <c r="D170" s="169">
        <v>2021</v>
      </c>
      <c r="E170" s="169">
        <v>2022</v>
      </c>
      <c r="F170" s="169">
        <v>2023</v>
      </c>
    </row>
    <row r="171" spans="1:6">
      <c r="A171" s="170" t="s">
        <v>231</v>
      </c>
      <c r="B171" s="171">
        <v>5282328</v>
      </c>
      <c r="C171" s="171">
        <v>5895579</v>
      </c>
      <c r="D171" s="171">
        <v>7113487</v>
      </c>
      <c r="E171" s="171">
        <v>8468771</v>
      </c>
      <c r="F171" s="172">
        <v>9370030</v>
      </c>
    </row>
    <row r="172" spans="1:6">
      <c r="A172" s="166" t="s">
        <v>232</v>
      </c>
      <c r="B172" s="173">
        <v>5134461</v>
      </c>
      <c r="C172" s="173">
        <v>13347215</v>
      </c>
      <c r="D172" s="173">
        <v>18862181</v>
      </c>
      <c r="E172" s="173">
        <v>16310647</v>
      </c>
      <c r="F172" s="174">
        <v>19313655</v>
      </c>
    </row>
    <row r="173" spans="1:6">
      <c r="A173" s="190" t="s">
        <v>169</v>
      </c>
      <c r="B173" s="182">
        <f t="shared" ref="B173:E173" si="23">SUM(B171:B172)</f>
        <v>10416789</v>
      </c>
      <c r="C173" s="182">
        <f t="shared" si="23"/>
        <v>19242794</v>
      </c>
      <c r="D173" s="182">
        <f t="shared" si="23"/>
        <v>25975668</v>
      </c>
      <c r="E173" s="182">
        <f t="shared" si="23"/>
        <v>24779418</v>
      </c>
      <c r="F173" s="183">
        <f>SUM(F171:F172)</f>
        <v>28683685</v>
      </c>
    </row>
    <row r="174" spans="1:6">
      <c r="A174" s="190" t="s">
        <v>233</v>
      </c>
      <c r="B174" s="486">
        <v>586898</v>
      </c>
      <c r="C174" s="486">
        <v>11201979</v>
      </c>
      <c r="D174" s="486">
        <v>8054170</v>
      </c>
      <c r="E174" s="486">
        <v>1416142</v>
      </c>
      <c r="F174" s="486">
        <v>904282</v>
      </c>
    </row>
    <row r="187" ht="16.149999999999999" customHeight="1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L55"/>
  <sheetViews>
    <sheetView tabSelected="1" topLeftCell="A19" zoomScale="112" zoomScaleNormal="112" workbookViewId="0">
      <selection activeCell="B33" sqref="B33"/>
    </sheetView>
  </sheetViews>
  <sheetFormatPr defaultColWidth="9" defaultRowHeight="14.25"/>
  <cols>
    <col min="1" max="1" width="50.28515625" style="34" customWidth="1"/>
    <col min="2" max="2" width="21" style="34" customWidth="1"/>
    <col min="3" max="3" width="19.85546875" style="34" customWidth="1"/>
    <col min="4" max="4" width="21.85546875" style="34" customWidth="1"/>
    <col min="5" max="5" width="16.7109375" style="34" customWidth="1"/>
    <col min="6" max="6" width="18.140625" style="34" customWidth="1"/>
    <col min="7" max="9" width="15.42578125" style="34" bestFit="1" customWidth="1"/>
    <col min="10" max="16384" width="9" style="34"/>
  </cols>
  <sheetData>
    <row r="1" spans="1:6" ht="15">
      <c r="A1" s="192"/>
      <c r="B1" s="193">
        <v>2019</v>
      </c>
      <c r="C1" s="193">
        <v>2020</v>
      </c>
      <c r="D1" s="193">
        <v>2021</v>
      </c>
      <c r="E1" s="193">
        <v>2022</v>
      </c>
      <c r="F1" s="193">
        <v>2023</v>
      </c>
    </row>
    <row r="2" spans="1:6" ht="15">
      <c r="A2" s="195" t="s">
        <v>234</v>
      </c>
      <c r="B2" s="191"/>
      <c r="C2" s="191"/>
      <c r="D2" s="191"/>
      <c r="E2" s="191"/>
      <c r="F2" s="191"/>
    </row>
    <row r="3" spans="1:6" ht="15">
      <c r="A3" s="195" t="s">
        <v>235</v>
      </c>
      <c r="B3" s="196">
        <v>80343947</v>
      </c>
      <c r="C3" s="196">
        <v>93667389</v>
      </c>
      <c r="D3" s="196">
        <v>108687714</v>
      </c>
      <c r="E3" s="196">
        <v>134749957</v>
      </c>
      <c r="F3" s="196">
        <v>164110931</v>
      </c>
    </row>
    <row r="4" spans="1:6">
      <c r="A4" s="194" t="s">
        <v>116</v>
      </c>
      <c r="B4" s="191"/>
      <c r="C4" s="191"/>
      <c r="D4" s="191"/>
      <c r="E4" s="191"/>
      <c r="F4" s="191"/>
    </row>
    <row r="5" spans="1:6">
      <c r="A5" s="194" t="s">
        <v>236</v>
      </c>
      <c r="B5" s="191"/>
      <c r="C5" s="191"/>
      <c r="D5" s="191"/>
      <c r="E5" s="191"/>
      <c r="F5" s="191"/>
    </row>
    <row r="6" spans="1:6">
      <c r="A6" s="194" t="s">
        <v>237</v>
      </c>
      <c r="B6" s="191"/>
      <c r="C6" s="191"/>
      <c r="D6" s="191"/>
      <c r="E6" s="191"/>
      <c r="F6" s="191"/>
    </row>
    <row r="7" spans="1:6">
      <c r="A7" s="194" t="s">
        <v>238</v>
      </c>
      <c r="B7" s="191"/>
      <c r="C7" s="191"/>
      <c r="D7" s="191"/>
      <c r="E7" s="191"/>
      <c r="F7" s="191"/>
    </row>
    <row r="8" spans="1:6">
      <c r="A8" s="194" t="s">
        <v>239</v>
      </c>
      <c r="B8" s="191"/>
      <c r="C8" s="191"/>
      <c r="D8" s="191"/>
      <c r="E8" s="191"/>
      <c r="F8" s="191"/>
    </row>
    <row r="9" spans="1:6">
      <c r="A9" s="194" t="s">
        <v>240</v>
      </c>
      <c r="B9" s="191"/>
      <c r="C9" s="191"/>
      <c r="D9" s="191"/>
      <c r="E9" s="191"/>
      <c r="F9" s="191"/>
    </row>
    <row r="10" spans="1:6">
      <c r="A10" s="194" t="s">
        <v>241</v>
      </c>
      <c r="B10" s="191"/>
      <c r="C10" s="191"/>
      <c r="D10" s="191"/>
      <c r="E10" s="191"/>
      <c r="F10" s="191"/>
    </row>
    <row r="11" spans="1:6">
      <c r="A11" s="194" t="s">
        <v>242</v>
      </c>
      <c r="B11" s="191"/>
      <c r="C11" s="191"/>
      <c r="D11" s="191"/>
      <c r="E11" s="191"/>
      <c r="F11" s="191"/>
    </row>
    <row r="12" spans="1:6" ht="15">
      <c r="A12" s="195" t="s">
        <v>243</v>
      </c>
      <c r="B12" s="196">
        <v>14738247</v>
      </c>
      <c r="C12" s="196">
        <v>11814657</v>
      </c>
      <c r="D12" s="196">
        <v>12478403</v>
      </c>
      <c r="E12" s="196">
        <v>14651330</v>
      </c>
      <c r="F12" s="196">
        <v>16720193</v>
      </c>
    </row>
    <row r="13" spans="1:6">
      <c r="A13" s="194" t="s">
        <v>244</v>
      </c>
      <c r="B13" s="191"/>
      <c r="C13" s="191"/>
      <c r="D13" s="191"/>
      <c r="E13" s="191"/>
      <c r="F13" s="191"/>
    </row>
    <row r="14" spans="1:6">
      <c r="A14" s="194" t="s">
        <v>231</v>
      </c>
      <c r="B14" s="191"/>
      <c r="C14" s="191"/>
      <c r="D14" s="191"/>
      <c r="E14" s="191"/>
      <c r="F14" s="191"/>
    </row>
    <row r="15" spans="1:6">
      <c r="A15" s="194" t="s">
        <v>245</v>
      </c>
      <c r="B15" s="191"/>
      <c r="C15" s="191"/>
      <c r="D15" s="191"/>
      <c r="E15" s="191"/>
      <c r="F15" s="191"/>
    </row>
    <row r="16" spans="1:6">
      <c r="A16" s="194" t="s">
        <v>246</v>
      </c>
      <c r="B16" s="191"/>
      <c r="C16" s="191"/>
      <c r="D16" s="191"/>
      <c r="E16" s="191"/>
      <c r="F16" s="191"/>
    </row>
    <row r="17" spans="1:12">
      <c r="A17" s="194" t="s">
        <v>247</v>
      </c>
      <c r="B17" s="191"/>
      <c r="C17" s="191"/>
      <c r="D17" s="191"/>
      <c r="E17" s="191"/>
      <c r="F17" s="191"/>
    </row>
    <row r="18" spans="1:12" ht="15">
      <c r="A18" s="195" t="s">
        <v>248</v>
      </c>
      <c r="B18" s="196">
        <v>-1612388</v>
      </c>
      <c r="C18" s="196">
        <v>-1342388</v>
      </c>
      <c r="D18" s="196">
        <v>-1194876</v>
      </c>
      <c r="E18" s="196">
        <v>-1193012</v>
      </c>
      <c r="F18" s="196">
        <v>-1190076</v>
      </c>
    </row>
    <row r="19" spans="1:12" ht="15">
      <c r="A19" s="193" t="s">
        <v>234</v>
      </c>
      <c r="B19" s="197">
        <f>B3+B12+B18</f>
        <v>93469806</v>
      </c>
      <c r="C19" s="197">
        <f t="shared" ref="C19:F19" si="0">C3+C12+C18</f>
        <v>104139658</v>
      </c>
      <c r="D19" s="197">
        <f t="shared" si="0"/>
        <v>119971241</v>
      </c>
      <c r="E19" s="197">
        <f t="shared" si="0"/>
        <v>148208275</v>
      </c>
      <c r="F19" s="197">
        <f t="shared" si="0"/>
        <v>179641048</v>
      </c>
    </row>
    <row r="21" spans="1:12" ht="15">
      <c r="A21" s="473" t="s">
        <v>249</v>
      </c>
    </row>
    <row r="22" spans="1:12" customFormat="1" ht="15">
      <c r="A22" s="192"/>
      <c r="B22" s="193">
        <v>2019</v>
      </c>
      <c r="C22" s="193">
        <v>2020</v>
      </c>
      <c r="D22" s="193">
        <v>2021</v>
      </c>
      <c r="E22" s="193">
        <v>2022</v>
      </c>
      <c r="F22" s="193">
        <v>2023</v>
      </c>
    </row>
    <row r="23" spans="1:12" customFormat="1" ht="15">
      <c r="A23" s="469" t="s">
        <v>250</v>
      </c>
      <c r="B23" s="469">
        <v>0</v>
      </c>
      <c r="C23" s="469">
        <v>0</v>
      </c>
      <c r="D23" s="469">
        <v>0</v>
      </c>
      <c r="E23" s="469">
        <v>0</v>
      </c>
      <c r="F23" s="469">
        <v>0</v>
      </c>
      <c r="H23" s="34"/>
      <c r="I23" s="34"/>
      <c r="J23" s="34"/>
      <c r="K23" s="34"/>
      <c r="L23" s="34"/>
    </row>
    <row r="24" spans="1:12" customFormat="1" ht="15">
      <c r="A24" s="469" t="s">
        <v>251</v>
      </c>
      <c r="B24" s="470">
        <v>439293</v>
      </c>
      <c r="C24" s="470">
        <v>217272</v>
      </c>
      <c r="D24" s="470">
        <v>318966</v>
      </c>
      <c r="E24" s="470">
        <v>224416</v>
      </c>
      <c r="F24" s="470">
        <v>399239</v>
      </c>
      <c r="H24" s="34"/>
      <c r="I24" s="34"/>
      <c r="J24" s="34"/>
      <c r="K24" s="34"/>
      <c r="L24" s="34"/>
    </row>
    <row r="25" spans="1:12" customFormat="1" ht="15">
      <c r="A25" s="469" t="s">
        <v>252</v>
      </c>
      <c r="B25" s="470">
        <v>162610224</v>
      </c>
      <c r="C25" s="470">
        <v>188305681</v>
      </c>
      <c r="D25" s="470">
        <v>197646089</v>
      </c>
      <c r="E25" s="470">
        <v>180889879</v>
      </c>
      <c r="F25" s="470">
        <v>233493158</v>
      </c>
      <c r="H25" s="34"/>
      <c r="I25" s="34"/>
      <c r="J25" s="34"/>
      <c r="K25" s="34"/>
      <c r="L25" s="34"/>
    </row>
    <row r="26" spans="1:12" customFormat="1" ht="15">
      <c r="A26" s="469" t="s">
        <v>253</v>
      </c>
      <c r="B26" s="470">
        <v>0</v>
      </c>
      <c r="C26" s="470">
        <v>0</v>
      </c>
      <c r="D26" s="470">
        <v>0</v>
      </c>
      <c r="E26" s="470">
        <v>0</v>
      </c>
      <c r="F26" s="470">
        <v>0</v>
      </c>
      <c r="H26" s="34"/>
      <c r="I26" s="34"/>
      <c r="J26" s="34"/>
      <c r="K26" s="34"/>
      <c r="L26" s="34"/>
    </row>
    <row r="27" spans="1:12" customFormat="1" ht="15">
      <c r="A27" s="469" t="s">
        <v>254</v>
      </c>
      <c r="B27" s="470">
        <v>0</v>
      </c>
      <c r="C27" s="470">
        <v>0</v>
      </c>
      <c r="D27" s="470">
        <v>0</v>
      </c>
      <c r="E27" s="470">
        <v>0</v>
      </c>
      <c r="F27" s="470">
        <v>0</v>
      </c>
      <c r="H27" s="34"/>
      <c r="I27" s="34"/>
      <c r="J27" s="34"/>
      <c r="K27" s="34"/>
      <c r="L27" s="34"/>
    </row>
    <row r="28" spans="1:12" customFormat="1" ht="15">
      <c r="A28" s="469" t="s">
        <v>255</v>
      </c>
      <c r="B28" s="470">
        <v>239476405</v>
      </c>
      <c r="C28" s="470">
        <v>296751828</v>
      </c>
      <c r="D28" s="470">
        <v>360955989</v>
      </c>
      <c r="E28" s="470">
        <v>441741395</v>
      </c>
      <c r="F28" s="470">
        <v>443923361</v>
      </c>
      <c r="H28" s="34"/>
      <c r="I28" s="34"/>
      <c r="J28" s="34"/>
      <c r="K28" s="34"/>
      <c r="L28" s="34"/>
    </row>
    <row r="29" spans="1:12" customFormat="1" ht="15">
      <c r="A29" s="469" t="s">
        <v>256</v>
      </c>
      <c r="B29" s="470">
        <v>467673104</v>
      </c>
      <c r="C29" s="470">
        <v>456968779</v>
      </c>
      <c r="D29" s="470">
        <v>553865877</v>
      </c>
      <c r="E29" s="470">
        <v>658098446</v>
      </c>
      <c r="F29" s="470">
        <v>704560933</v>
      </c>
      <c r="H29" s="34"/>
      <c r="I29" s="34"/>
      <c r="J29" s="34"/>
      <c r="K29" s="34"/>
      <c r="L29" s="34"/>
    </row>
    <row r="30" spans="1:12" customFormat="1" ht="15">
      <c r="A30" s="469" t="s">
        <v>257</v>
      </c>
      <c r="B30" s="470">
        <v>10115049</v>
      </c>
      <c r="C30" s="470">
        <v>9463306</v>
      </c>
      <c r="D30" s="470">
        <v>7338279</v>
      </c>
      <c r="E30" s="470">
        <v>4021738</v>
      </c>
      <c r="F30" s="470">
        <v>0</v>
      </c>
      <c r="H30" s="34"/>
      <c r="I30" s="34"/>
      <c r="J30" s="34"/>
      <c r="K30" s="34"/>
      <c r="L30" s="34"/>
    </row>
    <row r="31" spans="1:12" customFormat="1" ht="15">
      <c r="A31" s="469" t="s">
        <v>258</v>
      </c>
      <c r="B31" s="470">
        <v>1639280</v>
      </c>
      <c r="C31" s="470">
        <v>1365829</v>
      </c>
      <c r="D31" s="470">
        <v>10442119</v>
      </c>
      <c r="E31" s="470">
        <v>1906348</v>
      </c>
      <c r="F31" s="470">
        <v>4203669</v>
      </c>
      <c r="H31" s="34"/>
      <c r="I31" s="34"/>
      <c r="J31" s="34"/>
      <c r="K31" s="34"/>
      <c r="L31" s="34"/>
    </row>
    <row r="32" spans="1:12" customFormat="1" ht="15">
      <c r="A32" s="469" t="s">
        <v>259</v>
      </c>
      <c r="B32" s="470">
        <v>6633031</v>
      </c>
      <c r="C32" s="470">
        <v>6850823</v>
      </c>
      <c r="D32" s="470">
        <v>6380496</v>
      </c>
      <c r="E32" s="470">
        <v>7344027</v>
      </c>
      <c r="F32" s="470">
        <v>8591933</v>
      </c>
      <c r="H32" s="34"/>
      <c r="I32" s="34"/>
      <c r="J32" s="34"/>
      <c r="K32" s="34"/>
      <c r="L32" s="34"/>
    </row>
    <row r="33" spans="1:12" customFormat="1" ht="15">
      <c r="A33" s="469" t="s">
        <v>260</v>
      </c>
      <c r="B33" s="470">
        <v>16277824</v>
      </c>
      <c r="C33" s="470">
        <v>21509298</v>
      </c>
      <c r="D33" s="470">
        <v>31097247</v>
      </c>
      <c r="E33" s="470">
        <v>61216035</v>
      </c>
      <c r="F33" s="470">
        <v>30111973</v>
      </c>
      <c r="H33" s="34"/>
      <c r="I33" s="34"/>
      <c r="J33" s="34"/>
      <c r="K33" s="34"/>
      <c r="L33" s="34"/>
    </row>
    <row r="34" spans="1:12" customFormat="1" ht="15.75">
      <c r="A34" s="471" t="s">
        <v>261</v>
      </c>
      <c r="B34" s="471">
        <v>904864210</v>
      </c>
      <c r="C34" s="471">
        <v>976688767</v>
      </c>
      <c r="D34" s="471">
        <v>1168045062</v>
      </c>
      <c r="E34" s="471">
        <v>1355442284</v>
      </c>
      <c r="F34" s="471">
        <v>1425284266</v>
      </c>
      <c r="H34" s="34"/>
      <c r="I34" s="34"/>
      <c r="J34" s="34"/>
      <c r="K34" s="34"/>
      <c r="L34" s="34"/>
    </row>
    <row r="35" spans="1:12" customFormat="1" ht="15.75">
      <c r="A35" s="471" t="s">
        <v>262</v>
      </c>
      <c r="B35" s="471">
        <v>1463993</v>
      </c>
      <c r="C35" s="471">
        <v>1299132</v>
      </c>
      <c r="D35" s="471">
        <v>1281981</v>
      </c>
      <c r="E35" s="471">
        <v>1747852</v>
      </c>
      <c r="F35" s="471">
        <v>2018485</v>
      </c>
      <c r="H35" s="34"/>
      <c r="I35" s="34"/>
      <c r="J35" s="34"/>
      <c r="K35" s="34"/>
      <c r="L35" s="34"/>
    </row>
    <row r="36" spans="1:12" customFormat="1" ht="15.75">
      <c r="A36" s="471" t="s">
        <v>263</v>
      </c>
      <c r="B36" s="471">
        <v>749425</v>
      </c>
      <c r="C36" s="471">
        <v>921915</v>
      </c>
      <c r="D36" s="471">
        <v>526660</v>
      </c>
      <c r="E36" s="471">
        <v>323613</v>
      </c>
      <c r="F36" s="471">
        <v>381418</v>
      </c>
      <c r="H36" s="34"/>
      <c r="I36" s="34"/>
      <c r="J36" s="34"/>
      <c r="K36" s="34"/>
      <c r="L36" s="34"/>
    </row>
    <row r="37" spans="1:12" customFormat="1" ht="15.75">
      <c r="A37" s="471" t="s">
        <v>264</v>
      </c>
      <c r="B37" s="471">
        <v>6841243</v>
      </c>
      <c r="C37" s="471">
        <v>7979568</v>
      </c>
      <c r="D37" s="471">
        <v>8984080</v>
      </c>
      <c r="E37" s="471">
        <v>10255744</v>
      </c>
      <c r="F37" s="471">
        <v>11584278</v>
      </c>
      <c r="H37" s="34"/>
      <c r="I37" s="34"/>
      <c r="J37" s="34"/>
      <c r="K37" s="34"/>
      <c r="L37" s="34"/>
    </row>
    <row r="38" spans="1:12" customFormat="1" ht="15.75">
      <c r="A38" s="471" t="s">
        <v>265</v>
      </c>
      <c r="B38" s="472">
        <f>B3/(SUM(B34:B35)+12.5*SUM(B36:B37))</f>
        <v>8.0246723840990283E-2</v>
      </c>
      <c r="C38" s="472">
        <f t="shared" ref="C38:F38" si="1">C3/(SUM(C34:C35)+12.5*SUM(C36:C37))</f>
        <v>8.5992045455312763E-2</v>
      </c>
      <c r="D38" s="472">
        <f t="shared" si="1"/>
        <v>8.4371030273214659E-2</v>
      </c>
      <c r="E38" s="472">
        <f t="shared" si="1"/>
        <v>9.047069492842677E-2</v>
      </c>
      <c r="F38" s="472">
        <f t="shared" si="1"/>
        <v>0.10407358869485187</v>
      </c>
    </row>
    <row r="39" spans="1:12" customFormat="1" ht="15">
      <c r="A39" s="192" t="s">
        <v>266</v>
      </c>
      <c r="B39" s="474">
        <f>B19/(SUM(B34:B35)+12.5*SUM(B36:B37))</f>
        <v>9.3356699410758803E-2</v>
      </c>
      <c r="C39" s="474">
        <f t="shared" ref="C39:F39" si="2">C19/(SUM(C34:C35)+12.5*SUM(C36:C37))</f>
        <v>9.5606190159060855E-2</v>
      </c>
      <c r="D39" s="474">
        <f t="shared" si="2"/>
        <v>9.3130095700845558E-2</v>
      </c>
      <c r="E39" s="474">
        <f t="shared" si="2"/>
        <v>9.9506567066239435E-2</v>
      </c>
      <c r="F39" s="474">
        <f t="shared" si="2"/>
        <v>0.11392226238887244</v>
      </c>
    </row>
    <row r="40" spans="1:12" customFormat="1" ht="15">
      <c r="B40" s="484"/>
      <c r="C40" s="484"/>
      <c r="D40" s="484"/>
      <c r="E40" s="484"/>
      <c r="F40" s="484"/>
    </row>
    <row r="41" spans="1:12" customFormat="1" ht="15"/>
    <row r="42" spans="1:12" customFormat="1" ht="15"/>
    <row r="43" spans="1:12" customFormat="1" ht="15"/>
    <row r="44" spans="1:12" customFormat="1" ht="15"/>
    <row r="45" spans="1:12" customFormat="1" ht="15"/>
    <row r="46" spans="1:12" customFormat="1" ht="15"/>
    <row r="47" spans="1:12" customFormat="1" ht="15"/>
    <row r="48" spans="1:12" customFormat="1" ht="15"/>
    <row r="49" spans="1:9" customFormat="1" ht="15"/>
    <row r="50" spans="1:9" customFormat="1" ht="15"/>
    <row r="51" spans="1:9" customFormat="1" ht="15"/>
    <row r="52" spans="1:9" ht="15">
      <c r="A52"/>
      <c r="B52"/>
      <c r="C52"/>
      <c r="D52"/>
      <c r="E52"/>
      <c r="F52"/>
      <c r="G52"/>
      <c r="H52"/>
      <c r="I52"/>
    </row>
    <row r="54" spans="1:9" ht="15">
      <c r="D54"/>
      <c r="E54"/>
      <c r="F54"/>
      <c r="G54"/>
      <c r="H54"/>
      <c r="I54"/>
    </row>
    <row r="55" spans="1:9" ht="15">
      <c r="D55"/>
      <c r="E55"/>
      <c r="F55"/>
      <c r="G55"/>
      <c r="H55"/>
      <c r="I5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G33"/>
  <sheetViews>
    <sheetView showGridLines="0" zoomScale="89" zoomScaleNormal="89" workbookViewId="0">
      <selection activeCell="A14" sqref="A14"/>
    </sheetView>
  </sheetViews>
  <sheetFormatPr defaultColWidth="8.85546875" defaultRowHeight="15.75"/>
  <cols>
    <col min="1" max="1" width="39.140625" style="4" customWidth="1"/>
    <col min="2" max="6" width="14.140625" style="4" bestFit="1" customWidth="1"/>
    <col min="7" max="7" width="12.42578125" style="4" bestFit="1" customWidth="1"/>
    <col min="8" max="16384" width="8.85546875" style="4"/>
  </cols>
  <sheetData>
    <row r="1" spans="1:6">
      <c r="A1" s="3" t="s">
        <v>267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</row>
    <row r="2" spans="1:6">
      <c r="A2" s="260" t="s">
        <v>268</v>
      </c>
      <c r="B2" s="261">
        <v>34577350</v>
      </c>
      <c r="C2" s="261">
        <v>36285475</v>
      </c>
      <c r="D2" s="261">
        <v>42399617</v>
      </c>
      <c r="E2" s="261">
        <v>53246478</v>
      </c>
      <c r="F2" s="261">
        <v>53620869</v>
      </c>
    </row>
    <row r="3" spans="1:6">
      <c r="A3" s="198" t="s">
        <v>269</v>
      </c>
      <c r="B3" s="199">
        <v>67724190</v>
      </c>
      <c r="C3" s="199">
        <v>69205134</v>
      </c>
      <c r="D3" s="199">
        <v>70749002</v>
      </c>
      <c r="E3" s="199">
        <v>88112700</v>
      </c>
      <c r="F3" s="199">
        <v>108122278</v>
      </c>
    </row>
    <row r="4" spans="1:6">
      <c r="A4" s="198" t="s">
        <v>270</v>
      </c>
      <c r="B4" s="199">
        <v>-33146840</v>
      </c>
      <c r="C4" s="199">
        <v>-32919659</v>
      </c>
      <c r="D4" s="199">
        <v>-28349385</v>
      </c>
      <c r="E4" s="199">
        <v>-34866222</v>
      </c>
      <c r="F4" s="199">
        <v>-54501409</v>
      </c>
    </row>
    <row r="5" spans="1:6">
      <c r="A5" s="264" t="s">
        <v>271</v>
      </c>
      <c r="B5" s="265">
        <v>4306844</v>
      </c>
      <c r="C5" s="265">
        <v>6607317</v>
      </c>
      <c r="D5" s="265">
        <v>7407073</v>
      </c>
      <c r="E5" s="265">
        <v>6839100</v>
      </c>
      <c r="F5" s="265">
        <v>5779723</v>
      </c>
    </row>
    <row r="6" spans="1:6">
      <c r="A6" s="262" t="s">
        <v>272</v>
      </c>
      <c r="B6" s="263">
        <v>9002507</v>
      </c>
      <c r="C6" s="263">
        <v>10588163</v>
      </c>
      <c r="D6" s="263">
        <v>11286516</v>
      </c>
      <c r="E6" s="263">
        <v>12425007</v>
      </c>
      <c r="F6" s="263">
        <v>12632739</v>
      </c>
    </row>
    <row r="7" spans="1:6">
      <c r="A7" s="266" t="s">
        <v>273</v>
      </c>
      <c r="B7" s="267">
        <v>-4695663</v>
      </c>
      <c r="C7" s="267">
        <v>-3980846</v>
      </c>
      <c r="D7" s="267">
        <v>-3879443</v>
      </c>
      <c r="E7" s="267">
        <v>-5585907</v>
      </c>
      <c r="F7" s="267">
        <v>-6853016</v>
      </c>
    </row>
    <row r="8" spans="1:6">
      <c r="A8" s="260" t="s">
        <v>274</v>
      </c>
      <c r="B8" s="261">
        <v>3378274</v>
      </c>
      <c r="C8" s="261">
        <v>3906399</v>
      </c>
      <c r="D8" s="261">
        <v>4374820</v>
      </c>
      <c r="E8" s="261">
        <v>5768445</v>
      </c>
      <c r="F8" s="261">
        <v>5660028</v>
      </c>
    </row>
    <row r="9" spans="1:6">
      <c r="A9" s="269" t="s">
        <v>275</v>
      </c>
      <c r="B9" s="270">
        <v>145982</v>
      </c>
      <c r="C9" s="270">
        <v>1810</v>
      </c>
      <c r="D9" s="270">
        <v>104114</v>
      </c>
      <c r="E9" s="270">
        <v>-115194</v>
      </c>
      <c r="F9" s="270">
        <v>124217</v>
      </c>
    </row>
    <row r="10" spans="1:6">
      <c r="A10" s="269" t="s">
        <v>276</v>
      </c>
      <c r="B10" s="270">
        <v>7040</v>
      </c>
      <c r="C10" s="270">
        <v>-98</v>
      </c>
      <c r="D10" s="270">
        <v>-85126</v>
      </c>
      <c r="E10" s="270">
        <v>81595</v>
      </c>
      <c r="F10" s="270"/>
    </row>
    <row r="11" spans="1:6" ht="15.6" customHeight="1">
      <c r="A11" s="271" t="s">
        <v>277</v>
      </c>
      <c r="B11" s="272">
        <v>3069795</v>
      </c>
      <c r="C11" s="272">
        <v>1800253</v>
      </c>
      <c r="D11" s="272">
        <v>2393261</v>
      </c>
      <c r="E11" s="272">
        <v>2053961</v>
      </c>
      <c r="F11" s="272">
        <v>2272169</v>
      </c>
    </row>
    <row r="12" spans="1:6">
      <c r="A12" s="268" t="s">
        <v>73</v>
      </c>
      <c r="B12" s="263">
        <v>3427765</v>
      </c>
      <c r="C12" s="263">
        <v>2544714</v>
      </c>
      <c r="D12" s="263">
        <v>3100370</v>
      </c>
      <c r="E12" s="263">
        <v>2928339</v>
      </c>
      <c r="F12" s="263">
        <v>4050144</v>
      </c>
    </row>
    <row r="13" spans="1:6">
      <c r="A13" s="273" t="s">
        <v>278</v>
      </c>
      <c r="B13" s="267">
        <v>-357970</v>
      </c>
      <c r="C13" s="267">
        <v>-744461</v>
      </c>
      <c r="D13" s="267">
        <v>-707109</v>
      </c>
      <c r="E13" s="267">
        <v>-874378</v>
      </c>
      <c r="F13" s="267">
        <v>-1777975</v>
      </c>
    </row>
    <row r="14" spans="1:6">
      <c r="A14" s="264" t="s">
        <v>279</v>
      </c>
      <c r="B14" s="265">
        <v>245096</v>
      </c>
      <c r="C14" s="265">
        <v>461385</v>
      </c>
      <c r="D14" s="265">
        <v>129810</v>
      </c>
      <c r="E14" s="265">
        <v>208436</v>
      </c>
      <c r="F14" s="265">
        <v>266456</v>
      </c>
    </row>
    <row r="15" spans="1:6">
      <c r="A15" s="476" t="s">
        <v>280</v>
      </c>
      <c r="B15" s="477">
        <f>SUM(B2,B5,B8:B11,B14)</f>
        <v>45730381</v>
      </c>
      <c r="C15" s="477">
        <f t="shared" ref="C15:F15" si="0">SUM(C2,C5,C8:C11,C14)</f>
        <v>49062541</v>
      </c>
      <c r="D15" s="477">
        <f t="shared" si="0"/>
        <v>56723569</v>
      </c>
      <c r="E15" s="477">
        <f t="shared" si="0"/>
        <v>68082821</v>
      </c>
      <c r="F15" s="477">
        <f t="shared" si="0"/>
        <v>67723462</v>
      </c>
    </row>
    <row r="16" spans="1:6">
      <c r="A16" s="274" t="s">
        <v>78</v>
      </c>
      <c r="B16" s="275">
        <v>-15817575</v>
      </c>
      <c r="C16" s="275">
        <v>-16038250</v>
      </c>
      <c r="D16" s="275">
        <v>-17574188</v>
      </c>
      <c r="E16" s="275">
        <v>-21250512</v>
      </c>
      <c r="F16" s="275">
        <v>-21914899</v>
      </c>
    </row>
    <row r="17" spans="1:7">
      <c r="A17" s="264" t="s">
        <v>281</v>
      </c>
      <c r="B17" s="265">
        <v>29912806</v>
      </c>
      <c r="C17" s="265">
        <v>33024291</v>
      </c>
      <c r="D17" s="265">
        <v>39149381</v>
      </c>
      <c r="E17" s="265">
        <v>46832309</v>
      </c>
      <c r="F17" s="265">
        <v>45808563</v>
      </c>
    </row>
    <row r="18" spans="1:7">
      <c r="A18" s="274" t="s">
        <v>282</v>
      </c>
      <c r="B18" s="275">
        <v>-6790429</v>
      </c>
      <c r="C18" s="275">
        <v>-9974730</v>
      </c>
      <c r="D18" s="275">
        <v>-11760801</v>
      </c>
      <c r="E18" s="275">
        <v>-9464218</v>
      </c>
      <c r="F18" s="275">
        <v>-4564876</v>
      </c>
    </row>
    <row r="19" spans="1:7">
      <c r="A19" s="264" t="s">
        <v>283</v>
      </c>
      <c r="B19" s="265">
        <f>B17+B18</f>
        <v>23122377</v>
      </c>
      <c r="C19" s="265">
        <f>C17+C18</f>
        <v>23049561</v>
      </c>
      <c r="D19" s="265">
        <f>D17+D18</f>
        <v>27388580</v>
      </c>
      <c r="E19" s="265">
        <f>E17+E18</f>
        <v>37368091</v>
      </c>
      <c r="F19" s="265">
        <f>F17+F18</f>
        <v>41243687</v>
      </c>
    </row>
    <row r="20" spans="1:7">
      <c r="A20" s="268" t="s">
        <v>284</v>
      </c>
      <c r="B20" s="263">
        <v>-4596389</v>
      </c>
      <c r="C20" s="263">
        <v>-4577043</v>
      </c>
      <c r="D20" s="263">
        <v>-5449535</v>
      </c>
      <c r="E20" s="263">
        <v>-7449037</v>
      </c>
      <c r="F20" s="263">
        <v>-8189239</v>
      </c>
    </row>
    <row r="21" spans="1:7">
      <c r="A21" s="200" t="s">
        <v>285</v>
      </c>
      <c r="B21" s="201">
        <v>-4992464</v>
      </c>
      <c r="C21" s="201">
        <v>-5081068</v>
      </c>
      <c r="D21" s="201">
        <v>-4547363</v>
      </c>
      <c r="E21" s="201">
        <v>-8406860</v>
      </c>
      <c r="F21" s="201">
        <v>-8079401</v>
      </c>
    </row>
    <row r="22" spans="1:7">
      <c r="A22" s="276" t="s">
        <v>286</v>
      </c>
      <c r="B22" s="277">
        <v>396075</v>
      </c>
      <c r="C22" s="277">
        <v>504025</v>
      </c>
      <c r="D22" s="277">
        <v>-902172</v>
      </c>
      <c r="E22" s="277">
        <v>957823</v>
      </c>
      <c r="F22" s="277">
        <v>-109838</v>
      </c>
    </row>
    <row r="23" spans="1:7" ht="15.6" customHeight="1">
      <c r="A23" s="264" t="s">
        <v>287</v>
      </c>
      <c r="B23" s="265">
        <f>B19+B20</f>
        <v>18525988</v>
      </c>
      <c r="C23" s="265">
        <f>C19+C20</f>
        <v>18472518</v>
      </c>
      <c r="D23" s="265">
        <f>D19+D20</f>
        <v>21939045</v>
      </c>
      <c r="E23" s="265">
        <f>E19+E20</f>
        <v>29919054</v>
      </c>
      <c r="F23" s="265">
        <f>F19+F20</f>
        <v>33054448</v>
      </c>
    </row>
    <row r="24" spans="1:7">
      <c r="A24" s="268" t="s">
        <v>121</v>
      </c>
      <c r="B24" s="263">
        <v>15090</v>
      </c>
      <c r="C24" s="263">
        <v>21207</v>
      </c>
      <c r="D24" s="263">
        <v>20232</v>
      </c>
      <c r="E24" s="263">
        <v>20040</v>
      </c>
      <c r="F24" s="263">
        <v>21245</v>
      </c>
    </row>
    <row r="25" spans="1:7">
      <c r="A25" s="202" t="s">
        <v>288</v>
      </c>
      <c r="B25" s="203">
        <v>18510898</v>
      </c>
      <c r="C25" s="203">
        <v>18451311</v>
      </c>
      <c r="D25" s="203">
        <v>21918813</v>
      </c>
      <c r="E25" s="203">
        <v>29899014</v>
      </c>
      <c r="F25" s="203">
        <v>33033203</v>
      </c>
    </row>
    <row r="28" spans="1:7">
      <c r="A28" s="7" t="s">
        <v>289</v>
      </c>
    </row>
    <row r="30" spans="1:7">
      <c r="A30" s="209"/>
      <c r="B30" s="278">
        <v>2019</v>
      </c>
      <c r="C30" s="278">
        <v>2020</v>
      </c>
      <c r="D30" s="278">
        <v>2021</v>
      </c>
      <c r="E30" s="278">
        <v>2022</v>
      </c>
      <c r="F30" s="278">
        <v>2023</v>
      </c>
      <c r="G30" s="204"/>
    </row>
    <row r="31" spans="1:7">
      <c r="A31" s="206" t="s">
        <v>290</v>
      </c>
      <c r="B31" s="207">
        <v>18948</v>
      </c>
      <c r="C31" s="207">
        <v>20062</v>
      </c>
      <c r="D31" s="207">
        <v>21670</v>
      </c>
      <c r="E31" s="207">
        <v>22599</v>
      </c>
      <c r="F31" s="207">
        <v>23493</v>
      </c>
    </row>
    <row r="32" spans="1:7">
      <c r="A32" s="205" t="s">
        <v>291</v>
      </c>
      <c r="B32" s="208">
        <v>7807100</v>
      </c>
      <c r="C32" s="208">
        <v>7674765</v>
      </c>
      <c r="D32" s="208">
        <v>8499318</v>
      </c>
      <c r="E32" s="208">
        <v>9564154</v>
      </c>
      <c r="F32" s="208">
        <v>10553274</v>
      </c>
    </row>
    <row r="33" spans="1:6">
      <c r="A33" s="279" t="s">
        <v>292</v>
      </c>
      <c r="B33" s="280">
        <f>B32/B31/12</f>
        <v>34.335637886144532</v>
      </c>
      <c r="C33" s="280">
        <f t="shared" ref="C33:F33" si="1">C32/C31/12</f>
        <v>31.879361479413816</v>
      </c>
      <c r="D33" s="280">
        <f t="shared" si="1"/>
        <v>32.684656206737422</v>
      </c>
      <c r="E33" s="280">
        <f t="shared" si="1"/>
        <v>35.267615086213254</v>
      </c>
      <c r="F33" s="280">
        <f t="shared" si="1"/>
        <v>37.4341080321798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M66"/>
  <sheetViews>
    <sheetView showGridLines="0" topLeftCell="A45" zoomScale="85" zoomScaleNormal="85" workbookViewId="0">
      <selection activeCell="B59" sqref="B59"/>
    </sheetView>
  </sheetViews>
  <sheetFormatPr defaultColWidth="8.85546875" defaultRowHeight="15.75"/>
  <cols>
    <col min="1" max="1" width="52.7109375" style="4" customWidth="1"/>
    <col min="2" max="3" width="16.7109375" style="4" bestFit="1" customWidth="1"/>
    <col min="4" max="6" width="17.140625" style="4" bestFit="1" customWidth="1"/>
    <col min="7" max="7" width="12.42578125" style="4" bestFit="1" customWidth="1"/>
    <col min="8" max="10" width="8.85546875" style="4"/>
    <col min="11" max="11" width="12.42578125" style="4" bestFit="1" customWidth="1"/>
    <col min="12" max="13" width="13.7109375" style="4" bestFit="1" customWidth="1"/>
    <col min="14" max="14" width="12.42578125" style="4" bestFit="1" customWidth="1"/>
    <col min="15" max="16384" width="8.85546875" style="4"/>
  </cols>
  <sheetData>
    <row r="1" spans="1:6">
      <c r="A1" s="503" t="s">
        <v>293</v>
      </c>
      <c r="B1" s="504">
        <v>2015</v>
      </c>
      <c r="C1" s="504">
        <v>2016</v>
      </c>
      <c r="D1" s="504">
        <v>2017</v>
      </c>
      <c r="E1" s="504">
        <v>2018</v>
      </c>
      <c r="F1" s="504">
        <v>2019</v>
      </c>
    </row>
    <row r="2" spans="1:6">
      <c r="A2" s="215" t="s">
        <v>294</v>
      </c>
      <c r="B2" s="218"/>
      <c r="C2" s="218"/>
      <c r="D2" s="218"/>
      <c r="E2" s="218"/>
      <c r="F2" s="211"/>
    </row>
    <row r="3" spans="1:6">
      <c r="A3" s="216" t="s">
        <v>295</v>
      </c>
      <c r="B3" s="219">
        <v>66956606</v>
      </c>
      <c r="C3" s="219">
        <v>70063617</v>
      </c>
      <c r="D3" s="219">
        <v>70805813</v>
      </c>
      <c r="E3" s="219">
        <v>86084771</v>
      </c>
      <c r="F3" s="212">
        <v>108115649</v>
      </c>
    </row>
    <row r="4" spans="1:6">
      <c r="A4" s="216" t="s">
        <v>296</v>
      </c>
      <c r="B4" s="219">
        <v>-31567168</v>
      </c>
      <c r="C4" s="219">
        <v>-33194191</v>
      </c>
      <c r="D4" s="219">
        <v>-28835100</v>
      </c>
      <c r="E4" s="219">
        <v>-31709129</v>
      </c>
      <c r="F4" s="212">
        <v>-47454819</v>
      </c>
    </row>
    <row r="5" spans="1:6">
      <c r="A5" s="217" t="s">
        <v>297</v>
      </c>
      <c r="B5" s="219">
        <v>4306844</v>
      </c>
      <c r="C5" s="219">
        <v>6607317</v>
      </c>
      <c r="D5" s="219">
        <v>5727973</v>
      </c>
      <c r="E5" s="219">
        <v>5160000</v>
      </c>
      <c r="F5" s="212">
        <v>4100623</v>
      </c>
    </row>
    <row r="6" spans="1:6">
      <c r="A6" s="216" t="s">
        <v>298</v>
      </c>
      <c r="B6" s="219">
        <v>3068655</v>
      </c>
      <c r="C6" s="219">
        <v>3464399</v>
      </c>
      <c r="D6" s="219">
        <v>4666765</v>
      </c>
      <c r="E6" s="219">
        <v>6001404</v>
      </c>
      <c r="F6" s="212">
        <v>5242957</v>
      </c>
    </row>
    <row r="7" spans="1:6">
      <c r="A7" s="216" t="s">
        <v>299</v>
      </c>
      <c r="B7" s="219"/>
      <c r="C7" s="219"/>
      <c r="D7" s="219"/>
      <c r="E7" s="219"/>
      <c r="F7" s="212"/>
    </row>
    <row r="8" spans="1:6">
      <c r="A8" s="217" t="s">
        <v>300</v>
      </c>
      <c r="B8" s="219">
        <v>-115005</v>
      </c>
      <c r="C8" s="219">
        <v>-628988</v>
      </c>
      <c r="D8" s="219">
        <v>-526224</v>
      </c>
      <c r="E8" s="219">
        <v>-351728</v>
      </c>
      <c r="F8" s="212">
        <v>179388</v>
      </c>
    </row>
    <row r="9" spans="1:6">
      <c r="A9" s="216" t="s">
        <v>301</v>
      </c>
      <c r="B9" s="219">
        <v>3179526</v>
      </c>
      <c r="C9" s="219">
        <v>2421725</v>
      </c>
      <c r="D9" s="219">
        <v>2912230</v>
      </c>
      <c r="E9" s="219">
        <v>2394744</v>
      </c>
      <c r="F9" s="212">
        <v>2090116</v>
      </c>
    </row>
    <row r="10" spans="1:6">
      <c r="A10" s="217" t="s">
        <v>302</v>
      </c>
      <c r="B10" s="219">
        <v>-14532712</v>
      </c>
      <c r="C10" s="219">
        <v>-14525026</v>
      </c>
      <c r="D10" s="219">
        <v>-16384599</v>
      </c>
      <c r="E10" s="219">
        <v>-19834116</v>
      </c>
      <c r="F10" s="212">
        <v>-19932948</v>
      </c>
    </row>
    <row r="11" spans="1:6" s="5" customFormat="1">
      <c r="A11" s="223" t="s">
        <v>303</v>
      </c>
      <c r="B11" s="224">
        <v>-4827328</v>
      </c>
      <c r="C11" s="224">
        <v>-4680317</v>
      </c>
      <c r="D11" s="224">
        <v>-5877802</v>
      </c>
      <c r="E11" s="224">
        <v>-3976351</v>
      </c>
      <c r="F11" s="225">
        <v>-8969967</v>
      </c>
    </row>
    <row r="12" spans="1:6" s="7" customFormat="1">
      <c r="A12" s="227" t="s">
        <v>304</v>
      </c>
      <c r="B12" s="228"/>
      <c r="C12" s="228"/>
      <c r="D12" s="228"/>
      <c r="E12" s="228"/>
      <c r="F12" s="229"/>
    </row>
    <row r="13" spans="1:6">
      <c r="A13" s="217" t="s">
        <v>305</v>
      </c>
      <c r="B13" s="220">
        <v>2189341</v>
      </c>
      <c r="C13" s="220">
        <v>4040576</v>
      </c>
      <c r="D13" s="220">
        <v>-13107318</v>
      </c>
      <c r="E13" s="220">
        <v>-15019465</v>
      </c>
      <c r="F13" s="213">
        <v>10780289</v>
      </c>
    </row>
    <row r="14" spans="1:6">
      <c r="A14" s="217" t="s">
        <v>306</v>
      </c>
      <c r="B14" s="220">
        <v>-17562680</v>
      </c>
      <c r="C14" s="220">
        <v>10336784</v>
      </c>
      <c r="D14" s="220">
        <v>-14079392</v>
      </c>
      <c r="E14" s="220">
        <v>5431755</v>
      </c>
      <c r="F14" s="213">
        <v>19792999</v>
      </c>
    </row>
    <row r="15" spans="1:6">
      <c r="A15" s="217" t="s">
        <v>307</v>
      </c>
      <c r="B15" s="220">
        <v>177671</v>
      </c>
      <c r="C15" s="220">
        <v>98312</v>
      </c>
      <c r="D15" s="220">
        <v>-303202</v>
      </c>
      <c r="E15" s="220">
        <v>146687</v>
      </c>
      <c r="F15" s="213">
        <v>156515</v>
      </c>
    </row>
    <row r="16" spans="1:6">
      <c r="A16" s="217" t="s">
        <v>308</v>
      </c>
      <c r="B16" s="220">
        <v>-102840133</v>
      </c>
      <c r="C16" s="220">
        <v>-105081370</v>
      </c>
      <c r="D16" s="220">
        <v>-120961694</v>
      </c>
      <c r="E16" s="220">
        <v>-184316295</v>
      </c>
      <c r="F16" s="213">
        <v>-125292768</v>
      </c>
    </row>
    <row r="17" spans="1:13">
      <c r="A17" s="217" t="s">
        <v>309</v>
      </c>
      <c r="B17" s="220"/>
      <c r="C17" s="220"/>
      <c r="D17" s="220"/>
      <c r="E17" s="220"/>
      <c r="F17" s="213"/>
    </row>
    <row r="18" spans="1:13">
      <c r="A18" s="217" t="s">
        <v>310</v>
      </c>
      <c r="B18" s="220">
        <v>-4502397</v>
      </c>
      <c r="C18" s="222">
        <v>-2805965</v>
      </c>
      <c r="D18" s="220">
        <v>-2538370</v>
      </c>
      <c r="E18" s="220">
        <v>-3530346</v>
      </c>
      <c r="F18" s="213">
        <v>-5758202</v>
      </c>
    </row>
    <row r="19" spans="1:13">
      <c r="A19" s="217" t="s">
        <v>311</v>
      </c>
      <c r="B19" s="220">
        <v>-3354149</v>
      </c>
      <c r="C19" s="222">
        <v>1613500</v>
      </c>
      <c r="D19" s="220">
        <v>-9978820</v>
      </c>
      <c r="E19" s="220">
        <v>-28925742</v>
      </c>
      <c r="F19" s="213">
        <v>30781829</v>
      </c>
    </row>
    <row r="20" spans="1:13" s="7" customFormat="1">
      <c r="A20" s="227" t="s">
        <v>312</v>
      </c>
      <c r="B20" s="227"/>
      <c r="C20" s="227"/>
      <c r="D20" s="227"/>
      <c r="E20" s="227"/>
      <c r="F20" s="227"/>
    </row>
    <row r="21" spans="1:13">
      <c r="A21" s="217" t="s">
        <v>313</v>
      </c>
      <c r="B21" s="220">
        <v>1680491</v>
      </c>
      <c r="C21" s="222">
        <v>-51188811</v>
      </c>
      <c r="D21" s="220">
        <v>-31708879</v>
      </c>
      <c r="E21" s="220">
        <v>57846700</v>
      </c>
      <c r="F21" s="213">
        <v>-65643979</v>
      </c>
    </row>
    <row r="22" spans="1:13">
      <c r="A22" s="217" t="s">
        <v>314</v>
      </c>
      <c r="B22" s="220">
        <v>-2906994</v>
      </c>
      <c r="C22" s="222">
        <v>29966748</v>
      </c>
      <c r="D22" s="220">
        <v>6173944</v>
      </c>
      <c r="E22" s="220">
        <v>122753073</v>
      </c>
      <c r="F22" s="213">
        <v>-18671870</v>
      </c>
    </row>
    <row r="23" spans="1:13">
      <c r="A23" s="217" t="s">
        <v>315</v>
      </c>
      <c r="B23" s="220">
        <v>126521754</v>
      </c>
      <c r="C23" s="222">
        <v>103662698</v>
      </c>
      <c r="D23" s="220">
        <v>103210346</v>
      </c>
      <c r="E23" s="220">
        <v>108144558</v>
      </c>
      <c r="F23" s="213">
        <v>152229140</v>
      </c>
    </row>
    <row r="24" spans="1:13">
      <c r="A24" s="217" t="s">
        <v>316</v>
      </c>
      <c r="B24" s="220"/>
      <c r="C24" s="222">
        <v>52031</v>
      </c>
      <c r="D24" s="220">
        <v>-52031</v>
      </c>
      <c r="E24" s="220"/>
      <c r="F24" s="213">
        <v>117752</v>
      </c>
    </row>
    <row r="25" spans="1:13">
      <c r="A25" s="217" t="s">
        <v>317</v>
      </c>
      <c r="B25" s="220">
        <v>-77572</v>
      </c>
      <c r="C25" s="222">
        <v>-144015</v>
      </c>
      <c r="D25" s="220">
        <v>-3853426</v>
      </c>
      <c r="E25" s="220">
        <v>7950797</v>
      </c>
      <c r="F25" s="213">
        <v>-5425274</v>
      </c>
    </row>
    <row r="26" spans="1:13">
      <c r="A26" s="217" t="s">
        <v>318</v>
      </c>
      <c r="B26" s="220">
        <v>-5372</v>
      </c>
      <c r="C26" s="220">
        <v>-5752</v>
      </c>
      <c r="D26" s="220">
        <v>-6972</v>
      </c>
      <c r="E26" s="220">
        <v>-4409</v>
      </c>
      <c r="F26" s="213">
        <v>-2933</v>
      </c>
    </row>
    <row r="27" spans="1:13">
      <c r="A27" s="217" t="s">
        <v>319</v>
      </c>
      <c r="B27" s="220"/>
      <c r="C27" s="220"/>
      <c r="D27" s="220"/>
      <c r="E27" s="220"/>
      <c r="F27" s="213"/>
    </row>
    <row r="28" spans="1:13">
      <c r="A28" s="217" t="s">
        <v>320</v>
      </c>
      <c r="B28" s="220">
        <v>720675</v>
      </c>
      <c r="C28" s="220">
        <v>7396305</v>
      </c>
      <c r="D28" s="220">
        <v>950748</v>
      </c>
      <c r="E28" s="220">
        <v>71713235</v>
      </c>
      <c r="F28" s="213">
        <v>-72173193</v>
      </c>
    </row>
    <row r="29" spans="1:13">
      <c r="A29" s="217" t="s">
        <v>321</v>
      </c>
      <c r="B29" s="220">
        <v>-1434221</v>
      </c>
      <c r="C29" s="220">
        <v>-1866142</v>
      </c>
      <c r="D29" s="220">
        <v>-2786463</v>
      </c>
      <c r="E29" s="220">
        <v>-2538654</v>
      </c>
      <c r="F29" s="213">
        <v>-2802834</v>
      </c>
    </row>
    <row r="30" spans="1:13">
      <c r="A30" s="226" t="s">
        <v>322</v>
      </c>
      <c r="B30" s="451">
        <v>25075832</v>
      </c>
      <c r="C30" s="451">
        <v>25603435</v>
      </c>
      <c r="D30" s="451">
        <v>-56552473</v>
      </c>
      <c r="E30" s="451">
        <v>183421489</v>
      </c>
      <c r="F30" s="452">
        <v>-38541530</v>
      </c>
      <c r="K30" s="12"/>
      <c r="L30" s="12"/>
      <c r="M30" s="12"/>
    </row>
    <row r="31" spans="1:13">
      <c r="A31" s="227" t="s">
        <v>323</v>
      </c>
      <c r="B31" s="228"/>
      <c r="C31" s="228"/>
      <c r="D31" s="228"/>
      <c r="E31" s="228"/>
      <c r="F31" s="229"/>
    </row>
    <row r="32" spans="1:13">
      <c r="A32" s="217" t="s">
        <v>324</v>
      </c>
      <c r="B32" s="220">
        <v>-1005065</v>
      </c>
      <c r="C32" s="220">
        <v>-3001902</v>
      </c>
      <c r="D32" s="220">
        <v>-1621433</v>
      </c>
      <c r="E32" s="220">
        <v>-711567</v>
      </c>
      <c r="F32" s="213">
        <v>-1008160</v>
      </c>
    </row>
    <row r="33" spans="1:6">
      <c r="A33" s="217" t="s">
        <v>325</v>
      </c>
      <c r="B33" s="220">
        <v>11589</v>
      </c>
      <c r="C33" s="220">
        <v>10569</v>
      </c>
      <c r="D33" s="220">
        <v>8456</v>
      </c>
      <c r="E33" s="220">
        <v>15753</v>
      </c>
      <c r="F33" s="213">
        <v>9435</v>
      </c>
    </row>
    <row r="34" spans="1:6">
      <c r="A34" s="217" t="s">
        <v>326</v>
      </c>
      <c r="B34" s="220">
        <v>-6315</v>
      </c>
      <c r="C34" s="220">
        <v>-3053</v>
      </c>
      <c r="D34" s="220">
        <v>-1201</v>
      </c>
      <c r="E34" s="220">
        <v>-4808</v>
      </c>
      <c r="F34" s="213">
        <v>-6770</v>
      </c>
    </row>
    <row r="35" spans="1:6">
      <c r="A35" s="217" t="s">
        <v>327</v>
      </c>
      <c r="B35" s="220"/>
      <c r="C35" s="220"/>
      <c r="D35" s="220"/>
      <c r="E35" s="220"/>
      <c r="F35" s="213"/>
    </row>
    <row r="36" spans="1:6">
      <c r="A36" s="217" t="s">
        <v>328</v>
      </c>
      <c r="B36" s="220"/>
      <c r="C36" s="220"/>
      <c r="D36" s="220"/>
      <c r="E36" s="220"/>
      <c r="F36" s="213"/>
    </row>
    <row r="37" spans="1:6">
      <c r="A37" s="217" t="s">
        <v>329</v>
      </c>
      <c r="B37" s="220"/>
      <c r="C37" s="220"/>
      <c r="D37" s="220"/>
      <c r="E37" s="220"/>
      <c r="F37" s="213"/>
    </row>
    <row r="38" spans="1:6">
      <c r="A38" s="217" t="s">
        <v>330</v>
      </c>
      <c r="B38" s="220"/>
      <c r="C38" s="220"/>
      <c r="D38" s="220">
        <v>-83502</v>
      </c>
      <c r="E38" s="220"/>
      <c r="F38" s="213"/>
    </row>
    <row r="39" spans="1:6">
      <c r="A39" s="217" t="s">
        <v>331</v>
      </c>
      <c r="B39" s="220">
        <v>95773</v>
      </c>
      <c r="C39" s="220">
        <v>605274</v>
      </c>
      <c r="D39" s="220">
        <v>13791</v>
      </c>
      <c r="E39" s="220">
        <v>201899</v>
      </c>
      <c r="F39" s="213"/>
    </row>
    <row r="40" spans="1:6">
      <c r="A40" s="217" t="s">
        <v>332</v>
      </c>
      <c r="B40" s="220">
        <v>197571</v>
      </c>
      <c r="C40" s="220">
        <v>83959</v>
      </c>
      <c r="D40" s="220">
        <v>93953</v>
      </c>
      <c r="E40" s="220">
        <v>106555</v>
      </c>
      <c r="F40" s="213">
        <v>146088</v>
      </c>
    </row>
    <row r="41" spans="1:6">
      <c r="A41" s="226" t="s">
        <v>333</v>
      </c>
      <c r="B41" s="450">
        <f>SUM(B32:B40)</f>
        <v>-706447</v>
      </c>
      <c r="C41" s="450">
        <f t="shared" ref="C41:F41" si="0">SUM(C32:C40)</f>
        <v>-2305153</v>
      </c>
      <c r="D41" s="450">
        <f t="shared" si="0"/>
        <v>-1589936</v>
      </c>
      <c r="E41" s="450">
        <f t="shared" si="0"/>
        <v>-392168</v>
      </c>
      <c r="F41" s="450">
        <f t="shared" si="0"/>
        <v>-859407</v>
      </c>
    </row>
    <row r="42" spans="1:6">
      <c r="A42" s="227" t="s">
        <v>334</v>
      </c>
      <c r="B42" s="228"/>
      <c r="C42" s="228"/>
      <c r="D42" s="228"/>
      <c r="E42" s="228"/>
      <c r="F42" s="229"/>
    </row>
    <row r="43" spans="1:6">
      <c r="A43" s="217" t="s">
        <v>335</v>
      </c>
      <c r="B43" s="220">
        <v>6106477</v>
      </c>
      <c r="C43" s="220"/>
      <c r="D43" s="220"/>
      <c r="E43" s="220"/>
      <c r="F43" s="213"/>
    </row>
    <row r="44" spans="1:6">
      <c r="A44" s="217" t="s">
        <v>336</v>
      </c>
      <c r="B44" s="220"/>
      <c r="C44" s="220"/>
      <c r="D44" s="220"/>
      <c r="E44" s="220"/>
      <c r="F44" s="213"/>
    </row>
    <row r="45" spans="1:6">
      <c r="A45" s="217" t="s">
        <v>337</v>
      </c>
      <c r="B45" s="220"/>
      <c r="C45" s="220"/>
      <c r="D45" s="220"/>
      <c r="E45" s="220"/>
      <c r="F45" s="213"/>
    </row>
    <row r="46" spans="1:6">
      <c r="A46" s="217" t="s">
        <v>338</v>
      </c>
      <c r="B46" s="220">
        <v>-2219483</v>
      </c>
      <c r="C46" s="220">
        <v>-2986115</v>
      </c>
      <c r="D46" s="220">
        <v>-1886298</v>
      </c>
      <c r="E46" s="220">
        <v>-3348022</v>
      </c>
      <c r="F46" s="213">
        <v>-15627</v>
      </c>
    </row>
    <row r="47" spans="1:6">
      <c r="A47" s="217" t="s">
        <v>339</v>
      </c>
      <c r="B47" s="220"/>
      <c r="C47" s="220"/>
      <c r="D47" s="220"/>
      <c r="E47" s="220"/>
      <c r="F47" s="213"/>
    </row>
    <row r="48" spans="1:6">
      <c r="A48" s="217" t="s">
        <v>340</v>
      </c>
      <c r="B48" s="220"/>
      <c r="C48" s="220"/>
      <c r="D48" s="220"/>
      <c r="E48" s="220"/>
      <c r="F48" s="213"/>
    </row>
    <row r="49" spans="1:6">
      <c r="A49" s="226" t="s">
        <v>334</v>
      </c>
      <c r="B49" s="453">
        <f>SUM(B43:B48)</f>
        <v>3886994</v>
      </c>
      <c r="C49" s="453">
        <f>SUM(C43:C48)</f>
        <v>-2986115</v>
      </c>
      <c r="D49" s="453">
        <f>SUM(D43:D48)</f>
        <v>-1886298</v>
      </c>
      <c r="E49" s="453">
        <f>SUM(E43:E48)</f>
        <v>-3348022</v>
      </c>
      <c r="F49" s="453">
        <f>SUM(F43:F48)</f>
        <v>-15627</v>
      </c>
    </row>
    <row r="50" spans="1:6">
      <c r="A50" s="227" t="s">
        <v>341</v>
      </c>
      <c r="B50" s="230">
        <f>B30+B41+B49</f>
        <v>28256379</v>
      </c>
      <c r="C50" s="230">
        <f>C30+C41+C49</f>
        <v>20312167</v>
      </c>
      <c r="D50" s="230">
        <f>D30+D41+D49</f>
        <v>-60028707</v>
      </c>
      <c r="E50" s="230">
        <f>E30+E41+E49</f>
        <v>179681299</v>
      </c>
      <c r="F50" s="231">
        <f>F30+F41+F49</f>
        <v>-39416564</v>
      </c>
    </row>
    <row r="51" spans="1:6">
      <c r="A51" s="227" t="s">
        <v>342</v>
      </c>
      <c r="B51" s="230">
        <v>244014156</v>
      </c>
      <c r="C51" s="230">
        <v>272270535</v>
      </c>
      <c r="D51" s="230">
        <v>292582702</v>
      </c>
      <c r="E51" s="230">
        <v>232553995</v>
      </c>
      <c r="F51" s="231">
        <v>412235294</v>
      </c>
    </row>
    <row r="52" spans="1:6">
      <c r="A52" s="217" t="s">
        <v>343</v>
      </c>
      <c r="B52" s="221"/>
      <c r="C52" s="221"/>
      <c r="D52" s="221"/>
      <c r="E52" s="221"/>
      <c r="F52" s="214"/>
    </row>
    <row r="53" spans="1:6">
      <c r="A53" s="227" t="s">
        <v>344</v>
      </c>
      <c r="B53" s="230">
        <v>272270535</v>
      </c>
      <c r="C53" s="230">
        <v>292582702</v>
      </c>
      <c r="D53" s="230">
        <v>232553995</v>
      </c>
      <c r="E53" s="230">
        <v>412235294</v>
      </c>
      <c r="F53" s="231">
        <v>372818730</v>
      </c>
    </row>
    <row r="55" spans="1:6">
      <c r="A55" s="244" t="s">
        <v>345</v>
      </c>
      <c r="B55" s="234">
        <v>2015</v>
      </c>
      <c r="C55" s="234">
        <v>2016</v>
      </c>
      <c r="D55" s="234">
        <v>2017</v>
      </c>
      <c r="E55" s="234">
        <v>2018</v>
      </c>
      <c r="F55" s="235">
        <v>2019</v>
      </c>
    </row>
    <row r="56" spans="1:6">
      <c r="A56" s="236" t="s">
        <v>322</v>
      </c>
      <c r="B56" s="237">
        <f>B30</f>
        <v>25075832</v>
      </c>
      <c r="C56" s="237">
        <f>C30</f>
        <v>25603435</v>
      </c>
      <c r="D56" s="237">
        <f>D30</f>
        <v>-56552473</v>
      </c>
      <c r="E56" s="237">
        <f>E30</f>
        <v>183421489</v>
      </c>
      <c r="F56" s="238">
        <f>F30</f>
        <v>-38541530</v>
      </c>
    </row>
    <row r="57" spans="1:6">
      <c r="A57" s="100" t="s">
        <v>346</v>
      </c>
      <c r="B57" s="1">
        <f>B41</f>
        <v>-706447</v>
      </c>
      <c r="C57" s="1">
        <f>C41</f>
        <v>-2305153</v>
      </c>
      <c r="D57" s="1">
        <f>D41</f>
        <v>-1589936</v>
      </c>
      <c r="E57" s="1">
        <f>E41</f>
        <v>-392168</v>
      </c>
      <c r="F57" s="210">
        <f>F41</f>
        <v>-859407</v>
      </c>
    </row>
    <row r="58" spans="1:6">
      <c r="A58" s="111" t="s">
        <v>347</v>
      </c>
      <c r="B58" s="239">
        <f>B49</f>
        <v>3886994</v>
      </c>
      <c r="C58" s="239">
        <f>C49</f>
        <v>-2986115</v>
      </c>
      <c r="D58" s="239">
        <f>D49</f>
        <v>-1886298</v>
      </c>
      <c r="E58" s="239">
        <f>E49</f>
        <v>-3348022</v>
      </c>
      <c r="F58" s="240">
        <f>F49</f>
        <v>-15627</v>
      </c>
    </row>
    <row r="59" spans="1:6" s="3" customFormat="1">
      <c r="A59" s="245" t="s">
        <v>348</v>
      </c>
      <c r="B59" s="246">
        <f>SUM(B56:B58)</f>
        <v>28256379</v>
      </c>
      <c r="C59" s="246">
        <f>SUM(C56:C58)</f>
        <v>20312167</v>
      </c>
      <c r="D59" s="246">
        <f>SUM(D56:D58)</f>
        <v>-60028707</v>
      </c>
      <c r="E59" s="246">
        <f>SUM(E56:E58)</f>
        <v>179681299</v>
      </c>
      <c r="F59" s="247">
        <f>SUM(F56:F58)</f>
        <v>-39416564</v>
      </c>
    </row>
    <row r="60" spans="1:6" s="15" customFormat="1">
      <c r="A60" s="232" t="s">
        <v>342</v>
      </c>
      <c r="B60" s="14">
        <f>B51</f>
        <v>244014156</v>
      </c>
      <c r="C60" s="14">
        <f>C51</f>
        <v>272270535</v>
      </c>
      <c r="D60" s="14">
        <f>D51</f>
        <v>292582702</v>
      </c>
      <c r="E60" s="14">
        <f>E51</f>
        <v>232553995</v>
      </c>
      <c r="F60" s="233">
        <f>F51</f>
        <v>412235294</v>
      </c>
    </row>
    <row r="61" spans="1:6" s="15" customFormat="1">
      <c r="A61" s="241" t="s">
        <v>344</v>
      </c>
      <c r="B61" s="242">
        <f>B53</f>
        <v>272270535</v>
      </c>
      <c r="C61" s="242">
        <f>C53</f>
        <v>292582702</v>
      </c>
      <c r="D61" s="242">
        <f>D53</f>
        <v>232553995</v>
      </c>
      <c r="E61" s="242">
        <f>E53</f>
        <v>412235294</v>
      </c>
      <c r="F61" s="243">
        <f>F53</f>
        <v>372818730</v>
      </c>
    </row>
    <row r="62" spans="1:6">
      <c r="A62" s="248" t="s">
        <v>349</v>
      </c>
      <c r="B62" s="249"/>
      <c r="C62" s="249"/>
      <c r="D62" s="249"/>
      <c r="E62" s="249"/>
      <c r="F62" s="250"/>
    </row>
    <row r="63" spans="1:6">
      <c r="A63" s="100" t="s">
        <v>322</v>
      </c>
      <c r="C63" s="8">
        <f>C56/$C$59</f>
        <v>1.2604974644015088</v>
      </c>
      <c r="D63" s="8">
        <f>D56/$D$59</f>
        <v>0.94209047347963037</v>
      </c>
      <c r="E63" s="8">
        <f>E56/$E$59</f>
        <v>1.0208156887823925</v>
      </c>
      <c r="F63" s="158">
        <f>F56/$F$59</f>
        <v>0.97780034809731264</v>
      </c>
    </row>
    <row r="64" spans="1:6">
      <c r="A64" s="100" t="s">
        <v>346</v>
      </c>
      <c r="C64" s="8">
        <f>C57/$C$59</f>
        <v>-0.11348631586181819</v>
      </c>
      <c r="D64" s="8">
        <f>D57/$D$59</f>
        <v>2.6486260981766607E-2</v>
      </c>
      <c r="E64" s="8">
        <f>E57/$E$59</f>
        <v>-2.1825754944035662E-3</v>
      </c>
      <c r="F64" s="158">
        <f>F57/$F$59</f>
        <v>2.180319421043397E-2</v>
      </c>
    </row>
    <row r="65" spans="1:6">
      <c r="A65" s="111" t="s">
        <v>347</v>
      </c>
      <c r="B65" s="112"/>
      <c r="C65" s="159">
        <f>C58/$C$59</f>
        <v>-0.14701114853969052</v>
      </c>
      <c r="D65" s="159">
        <f>D58/$D$59</f>
        <v>3.1423265538603057E-2</v>
      </c>
      <c r="E65" s="159">
        <f>E58/$E$59</f>
        <v>-1.8633113287988862E-2</v>
      </c>
      <c r="F65" s="160">
        <f>F58/$F$59</f>
        <v>3.9645769225343943E-4</v>
      </c>
    </row>
    <row r="66" spans="1:6" s="3" customFormat="1">
      <c r="A66" s="251" t="s">
        <v>348</v>
      </c>
      <c r="B66" s="252"/>
      <c r="C66" s="253">
        <f>C59/$C$59</f>
        <v>1</v>
      </c>
      <c r="D66" s="253">
        <f>D59/$D$59</f>
        <v>1</v>
      </c>
      <c r="E66" s="253">
        <f>E59/$E$59</f>
        <v>1</v>
      </c>
      <c r="F66" s="254">
        <f>F59/$F$59</f>
        <v>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M253"/>
  <sheetViews>
    <sheetView showGridLines="0" topLeftCell="A6" zoomScaleNormal="100" workbookViewId="0">
      <selection activeCell="J46" sqref="J46"/>
    </sheetView>
  </sheetViews>
  <sheetFormatPr defaultColWidth="9" defaultRowHeight="14.25"/>
  <cols>
    <col min="1" max="1" width="9" style="34"/>
    <col min="2" max="2" width="52.85546875" style="34" bestFit="1" customWidth="1"/>
    <col min="3" max="3" width="15.42578125" style="34" customWidth="1"/>
    <col min="4" max="4" width="13.7109375" style="34" customWidth="1"/>
    <col min="5" max="5" width="13.85546875" style="34" customWidth="1"/>
    <col min="6" max="6" width="13.5703125" style="34" bestFit="1" customWidth="1"/>
    <col min="7" max="7" width="9.28515625" style="34" bestFit="1" customWidth="1"/>
    <col min="8" max="8" width="54" style="34" customWidth="1"/>
    <col min="9" max="16384" width="9" style="34"/>
  </cols>
  <sheetData>
    <row r="1" spans="1:12" ht="18">
      <c r="A1" s="323">
        <v>1</v>
      </c>
      <c r="B1" s="322" t="s">
        <v>350</v>
      </c>
      <c r="C1" s="316"/>
      <c r="D1" s="316"/>
      <c r="E1" s="316"/>
      <c r="F1" s="316"/>
      <c r="G1" s="106"/>
      <c r="H1" s="106"/>
      <c r="I1" s="106"/>
      <c r="J1" s="106"/>
      <c r="K1" s="106"/>
      <c r="L1" s="106"/>
    </row>
    <row r="2" spans="1:12" ht="13.5" customHeight="1" thickBot="1">
      <c r="B2" s="106"/>
      <c r="C2" s="106"/>
      <c r="D2" s="106"/>
      <c r="E2" s="106"/>
      <c r="F2" s="489" t="s">
        <v>351</v>
      </c>
      <c r="G2" s="106"/>
    </row>
    <row r="3" spans="1:12">
      <c r="B3" s="337" t="s">
        <v>352</v>
      </c>
      <c r="C3" s="338">
        <v>2020</v>
      </c>
      <c r="D3" s="338">
        <v>2021</v>
      </c>
      <c r="E3" s="338">
        <v>2022</v>
      </c>
      <c r="F3" s="339">
        <v>2023</v>
      </c>
    </row>
    <row r="4" spans="1:12">
      <c r="B4" s="340" t="s">
        <v>353</v>
      </c>
      <c r="C4" s="423">
        <v>49062541</v>
      </c>
      <c r="D4" s="424">
        <v>56723569</v>
      </c>
      <c r="E4" s="424">
        <v>68082821</v>
      </c>
      <c r="F4" s="425">
        <v>67723462</v>
      </c>
    </row>
    <row r="5" spans="1:12">
      <c r="B5" s="341" t="s">
        <v>354</v>
      </c>
      <c r="C5" s="420">
        <v>-16038250</v>
      </c>
      <c r="D5" s="421">
        <v>-17574188</v>
      </c>
      <c r="E5" s="421">
        <v>-21250512</v>
      </c>
      <c r="F5" s="422">
        <v>-21914899</v>
      </c>
    </row>
    <row r="6" spans="1:12">
      <c r="B6" s="341" t="s">
        <v>355</v>
      </c>
      <c r="C6" s="420">
        <v>23049561</v>
      </c>
      <c r="D6" s="421">
        <v>27388580</v>
      </c>
      <c r="E6" s="421">
        <v>37368091</v>
      </c>
      <c r="F6" s="422">
        <v>41243687</v>
      </c>
    </row>
    <row r="7" spans="1:12">
      <c r="B7" s="341" t="s">
        <v>356</v>
      </c>
      <c r="C7" s="420">
        <v>18472518</v>
      </c>
      <c r="D7" s="421">
        <v>21939045</v>
      </c>
      <c r="E7" s="421">
        <v>29919054</v>
      </c>
      <c r="F7" s="422">
        <v>33054448</v>
      </c>
    </row>
    <row r="8" spans="1:12" ht="15" thickBot="1">
      <c r="B8" s="342" t="s">
        <v>357</v>
      </c>
      <c r="C8" s="426">
        <v>18451311</v>
      </c>
      <c r="D8" s="427">
        <v>21918813</v>
      </c>
      <c r="E8" s="427">
        <v>29899014</v>
      </c>
      <c r="F8" s="428">
        <v>33033203</v>
      </c>
    </row>
    <row r="9" spans="1:12">
      <c r="B9" s="343" t="s">
        <v>92</v>
      </c>
      <c r="C9" s="338">
        <v>2020</v>
      </c>
      <c r="D9" s="338">
        <v>2021</v>
      </c>
      <c r="E9" s="338">
        <v>2022</v>
      </c>
      <c r="F9" s="339">
        <v>2023</v>
      </c>
    </row>
    <row r="10" spans="1:12">
      <c r="B10" s="340" t="s">
        <v>358</v>
      </c>
      <c r="C10" s="423">
        <v>1813815170</v>
      </c>
      <c r="D10" s="424">
        <v>1414672587</v>
      </c>
      <c r="E10" s="424">
        <v>1326230092</v>
      </c>
      <c r="F10" s="425">
        <v>1222718858</v>
      </c>
    </row>
    <row r="11" spans="1:12">
      <c r="B11" s="341" t="s">
        <v>359</v>
      </c>
      <c r="C11" s="420">
        <v>1120286832</v>
      </c>
      <c r="D11" s="421">
        <v>934774287</v>
      </c>
      <c r="E11" s="421">
        <v>820545467</v>
      </c>
      <c r="F11" s="422">
        <v>724290102</v>
      </c>
    </row>
    <row r="12" spans="1:12">
      <c r="B12" s="341" t="s">
        <v>360</v>
      </c>
      <c r="C12" s="420">
        <v>161124164</v>
      </c>
      <c r="D12" s="421">
        <v>175716974</v>
      </c>
      <c r="E12" s="421">
        <v>199864435</v>
      </c>
      <c r="F12" s="422">
        <v>150500420</v>
      </c>
    </row>
    <row r="13" spans="1:12">
      <c r="B13" s="341" t="s">
        <v>361</v>
      </c>
      <c r="C13" s="420">
        <v>1232135113</v>
      </c>
      <c r="D13" s="421">
        <v>1305555194</v>
      </c>
      <c r="E13" s="421">
        <v>1678169085</v>
      </c>
      <c r="F13" s="422">
        <v>1674600532</v>
      </c>
    </row>
    <row r="14" spans="1:12">
      <c r="B14" s="341" t="s">
        <v>362</v>
      </c>
      <c r="C14" s="420">
        <v>1135697400</v>
      </c>
      <c r="D14" s="421">
        <v>1245081690</v>
      </c>
      <c r="E14" s="421">
        <v>1475979321</v>
      </c>
      <c r="F14" s="422">
        <v>1609536591</v>
      </c>
    </row>
    <row r="15" spans="1:12" ht="15" thickBot="1">
      <c r="B15" s="342" t="s">
        <v>363</v>
      </c>
      <c r="C15" s="426">
        <v>42428821</v>
      </c>
      <c r="D15" s="427">
        <v>42428821</v>
      </c>
      <c r="E15" s="427">
        <v>53130392</v>
      </c>
      <c r="F15" s="428">
        <v>61696139</v>
      </c>
    </row>
    <row r="16" spans="1:12">
      <c r="B16" s="343" t="s">
        <v>364</v>
      </c>
      <c r="C16" s="338">
        <v>2020</v>
      </c>
      <c r="D16" s="338">
        <v>2021</v>
      </c>
      <c r="E16" s="338">
        <v>2022</v>
      </c>
      <c r="F16" s="339">
        <v>2023</v>
      </c>
    </row>
    <row r="17" spans="1:8">
      <c r="B17" s="340" t="s">
        <v>365</v>
      </c>
      <c r="C17" s="456">
        <f>C7/AVERAGE(BS!B$13:C$13)</f>
        <v>1.449422358968782E-2</v>
      </c>
      <c r="D17" s="456">
        <f>D7/AVERAGE(BS!C$13:D$13)</f>
        <v>1.600862749932027E-2</v>
      </c>
      <c r="E17" s="456">
        <f>E7/AVERAGE(BS!D$13:E$13)</f>
        <v>1.8534407593852307E-2</v>
      </c>
      <c r="F17" s="456">
        <f>F7/AVERAGE(BS!E$13:F$13)</f>
        <v>1.8095030021401531E-2</v>
      </c>
    </row>
    <row r="18" spans="1:8">
      <c r="B18" s="341" t="s">
        <v>366</v>
      </c>
      <c r="C18" s="457">
        <f>C7/AVERAGE(BS!B23:C23)</f>
        <v>0.21114108193316986</v>
      </c>
      <c r="D18" s="458">
        <f>D7/AVERAGE(BS!C23:D23)</f>
        <v>0.21592233567353861</v>
      </c>
      <c r="E18" s="458">
        <f>E7/AVERAGE(BS!D23:E23)</f>
        <v>0.24447318892894634</v>
      </c>
      <c r="F18" s="459">
        <f>F7/AVERAGE(BS!E23:F23)</f>
        <v>0.21988016573646979</v>
      </c>
    </row>
    <row r="19" spans="1:8">
      <c r="B19" s="341" t="s">
        <v>367</v>
      </c>
      <c r="C19" s="420">
        <v>4470</v>
      </c>
      <c r="D19" s="421">
        <v>4195</v>
      </c>
      <c r="E19" s="421">
        <v>5821</v>
      </c>
      <c r="F19" s="422">
        <v>5449</v>
      </c>
    </row>
    <row r="20" spans="1:8">
      <c r="B20" s="341" t="s">
        <v>368</v>
      </c>
      <c r="C20" s="420">
        <v>19203.6796145431</v>
      </c>
      <c r="D20" s="421">
        <v>22389.115687261299</v>
      </c>
      <c r="E20" s="421">
        <v>28049.005853127099</v>
      </c>
      <c r="F20" s="422">
        <v>29043.381006076699</v>
      </c>
    </row>
    <row r="21" spans="1:8" ht="15" thickBot="1">
      <c r="B21" s="344" t="s">
        <v>369</v>
      </c>
      <c r="C21" s="460">
        <v>25.110051654372999</v>
      </c>
      <c r="D21" s="461">
        <v>14.4055932963669</v>
      </c>
      <c r="E21" s="461">
        <v>10.7221152015093</v>
      </c>
      <c r="F21" s="462">
        <v>13.5864520415595</v>
      </c>
    </row>
    <row r="22" spans="1:8">
      <c r="B22" s="321"/>
      <c r="C22" s="315"/>
      <c r="D22" s="315"/>
      <c r="E22" s="315"/>
      <c r="F22" s="315"/>
    </row>
    <row r="24" spans="1:8" ht="18">
      <c r="A24" s="323">
        <v>2</v>
      </c>
      <c r="B24" s="324" t="s">
        <v>370</v>
      </c>
      <c r="C24" s="303"/>
      <c r="D24" s="303"/>
      <c r="E24" s="303"/>
      <c r="F24" s="303"/>
    </row>
    <row r="26" spans="1:8" ht="15" thickBot="1"/>
    <row r="27" spans="1:8">
      <c r="B27" s="475" t="s">
        <v>371</v>
      </c>
      <c r="C27" s="326">
        <v>2020</v>
      </c>
      <c r="D27" s="326">
        <v>2021</v>
      </c>
      <c r="E27" s="326">
        <v>2022</v>
      </c>
      <c r="F27" s="327">
        <v>2023</v>
      </c>
    </row>
    <row r="28" spans="1:8" ht="15">
      <c r="B28" s="328" t="s">
        <v>372</v>
      </c>
      <c r="C28" s="319"/>
      <c r="D28" s="319"/>
      <c r="E28" s="319"/>
      <c r="F28" s="329"/>
      <c r="H28" s="505" t="s">
        <v>373</v>
      </c>
    </row>
    <row r="29" spans="1:8">
      <c r="B29" s="330" t="s">
        <v>374</v>
      </c>
      <c r="C29" s="417">
        <f>C7/AVERAGE(BS!B23:C23)</f>
        <v>0.21114108193316986</v>
      </c>
      <c r="D29" s="418">
        <f>D7/AVERAGE(BS!C23:D23)</f>
        <v>0.21592233567353861</v>
      </c>
      <c r="E29" s="418">
        <f>E7/AVERAGE(BS!D23:E23)</f>
        <v>0.24447318892894634</v>
      </c>
      <c r="F29" s="419">
        <f>F7/AVERAGE(BS!E23:F23)</f>
        <v>0.21988016573646979</v>
      </c>
      <c r="H29" s="34" t="s">
        <v>375</v>
      </c>
    </row>
    <row r="30" spans="1:8">
      <c r="B30" s="331" t="s">
        <v>376</v>
      </c>
      <c r="C30" s="414">
        <f>C7/AVERAGE(BS!B$13:C$13)</f>
        <v>1.449422358968782E-2</v>
      </c>
      <c r="D30" s="415">
        <f>D7/AVERAGE(BS!C$13:D$13)</f>
        <v>1.600862749932027E-2</v>
      </c>
      <c r="E30" s="415">
        <f>E7/AVERAGE(BS!D$13:E$13)</f>
        <v>1.8534407593852307E-2</v>
      </c>
      <c r="F30" s="416">
        <f>F7/AVERAGE(BS!E$13:F$13)</f>
        <v>1.8095030021401531E-2</v>
      </c>
      <c r="H30" s="34" t="s">
        <v>377</v>
      </c>
    </row>
    <row r="31" spans="1:8">
      <c r="B31" s="331" t="s">
        <v>378</v>
      </c>
      <c r="C31" s="414">
        <f>IS!C2/(SUM(BS!B8:C8)/2)</f>
        <v>4.697648827892828E-2</v>
      </c>
      <c r="D31" s="415">
        <f>IS!D2/(SUM(BS!C8:D8)/2)</f>
        <v>4.8309849989872561E-2</v>
      </c>
      <c r="E31" s="415">
        <f>IS!E2/(SUM(BS!D8:E8)/2)</f>
        <v>5.1819848575510905E-2</v>
      </c>
      <c r="F31" s="416">
        <f>IS!F2/(SUM(BS!E8:F8)/2)</f>
        <v>4.5403664626439938E-2</v>
      </c>
      <c r="H31" s="34" t="s">
        <v>379</v>
      </c>
    </row>
    <row r="32" spans="1:8">
      <c r="B32" s="331" t="s">
        <v>380</v>
      </c>
      <c r="C32" s="414">
        <f>IS!C2/AVERAGE(SUM(BS!B4:B6,BS!B8:B9),SUM(BS!C4:C6,BS!C8:C9))</f>
        <v>2.9520606318159413E-2</v>
      </c>
      <c r="D32" s="415">
        <f>IS!D2/AVERAGE(SUM(BS!C4:C6,BS!C8:C9),SUM(BS!D4:D6,BS!D8:D9))</f>
        <v>3.2158001302399437E-2</v>
      </c>
      <c r="E32" s="415">
        <f>IS!E2/AVERAGE(SUM(BS!D4:D6,BS!D8:D9),SUM(BS!E4:E6,BS!E8:E9))</f>
        <v>3.4569245063446677E-2</v>
      </c>
      <c r="F32" s="416">
        <f>IS!F2/AVERAGE(SUM(BS!E4:E6,BS!E8:E9),SUM(BS!F4:F6,BS!F8:F9))</f>
        <v>3.0564723103545337E-2</v>
      </c>
      <c r="H32" s="34" t="s">
        <v>381</v>
      </c>
    </row>
    <row r="33" spans="2:8">
      <c r="B33" s="331" t="s">
        <v>382</v>
      </c>
      <c r="C33" s="414">
        <f>IS!C3/AVERAGE(SUM(BS!B4:B6,BS!B8:B9),SUM(BS!C4:C6,BS!C8:C9))</f>
        <v>5.6302901257582236E-2</v>
      </c>
      <c r="D33" s="415">
        <f>IS!D3/AVERAGE(SUM(BS!C4:C6,BS!C8:C9),SUM(BS!D4:D6,BS!D8:D9))</f>
        <v>5.3659600237885657E-2</v>
      </c>
      <c r="E33" s="415">
        <f>IS!E3/AVERAGE(SUM(BS!D4:D6,BS!D8:D9),SUM(BS!E4:E6,BS!E8:E9))</f>
        <v>5.7205464735187894E-2</v>
      </c>
      <c r="F33" s="416">
        <f>IS!F3/AVERAGE(SUM(BS!E4:E6,BS!E8:E9),SUM(BS!F4:F6,BS!F8:F9))</f>
        <v>6.1631367600449585E-2</v>
      </c>
      <c r="H33" s="34" t="s">
        <v>383</v>
      </c>
    </row>
    <row r="34" spans="2:8">
      <c r="B34" s="332" t="s">
        <v>384</v>
      </c>
      <c r="C34" s="411">
        <f>ABS(IS!C4)/AVERAGE(SUM(BS!B16:B18,BS!B21),SUM(BS!C16:C18,BS!C21))</f>
        <v>2.8453433341699294E-2</v>
      </c>
      <c r="D34" s="412">
        <f>ABS(IS!D4)/AVERAGE(SUM(BS!C16:C18,BS!C21),SUM(BS!D16:D18,BS!D21))</f>
        <v>2.2954483011531725E-2</v>
      </c>
      <c r="E34" s="412">
        <f>ABS(IS!E4)/AVERAGE(SUM(BS!D16:D18,BS!D21),SUM(BS!E16:E18,BS!E21))</f>
        <v>2.4548754022003214E-2</v>
      </c>
      <c r="F34" s="413">
        <f>ABS(IS!F4)/AVERAGE(SUM(BS!E16:E18,BS!E21),SUM(BS!F16:F18,BS!F21))</f>
        <v>3.4066019868598058E-2</v>
      </c>
      <c r="H34" s="34" t="s">
        <v>385</v>
      </c>
    </row>
    <row r="35" spans="2:8">
      <c r="B35" s="328" t="s">
        <v>386</v>
      </c>
      <c r="C35" s="317"/>
      <c r="D35" s="317"/>
      <c r="E35" s="317"/>
      <c r="F35" s="333"/>
      <c r="H35" s="328" t="s">
        <v>386</v>
      </c>
    </row>
    <row r="36" spans="2:8">
      <c r="B36" s="331" t="s">
        <v>387</v>
      </c>
      <c r="C36" s="414">
        <f>C33-C34</f>
        <v>2.7849467915882942E-2</v>
      </c>
      <c r="D36" s="414">
        <f>D33-D34</f>
        <v>3.0705117226353933E-2</v>
      </c>
      <c r="E36" s="414">
        <f>E33-E34</f>
        <v>3.2656710713184683E-2</v>
      </c>
      <c r="F36" s="414">
        <f>F33-F34</f>
        <v>2.7565347731851528E-2</v>
      </c>
      <c r="H36" s="34" t="s">
        <v>388</v>
      </c>
    </row>
    <row r="37" spans="2:8">
      <c r="B37" s="332" t="s">
        <v>79</v>
      </c>
      <c r="C37" s="411">
        <f>ABS(IS!C16)/IS!C15</f>
        <v>0.3268939943408149</v>
      </c>
      <c r="D37" s="412">
        <f>ABS(IS!D16)/IS!D15</f>
        <v>0.30982161929902541</v>
      </c>
      <c r="E37" s="412">
        <f>ABS(IS!E16)/IS!E15</f>
        <v>0.31212737204294166</v>
      </c>
      <c r="F37" s="413">
        <f>ABS(IS!F16)/IS!F15</f>
        <v>0.32359389719326515</v>
      </c>
      <c r="H37" s="34" t="s">
        <v>389</v>
      </c>
    </row>
    <row r="38" spans="2:8">
      <c r="B38" s="328" t="s">
        <v>390</v>
      </c>
      <c r="C38" s="328"/>
      <c r="D38" s="328"/>
      <c r="E38" s="328"/>
      <c r="F38" s="328"/>
      <c r="H38" s="328" t="s">
        <v>390</v>
      </c>
    </row>
    <row r="39" spans="2:8">
      <c r="B39" s="332" t="s">
        <v>28</v>
      </c>
      <c r="C39" s="414">
        <f>SUM(BS!C73:C75)/BS!C76</f>
        <v>6.2272470846076759E-3</v>
      </c>
      <c r="D39" s="414">
        <f>SUM(BS!D73:D75)/BS!D76</f>
        <v>6.3711978003683587E-3</v>
      </c>
      <c r="E39" s="414">
        <f>SUM(BS!E73:E75)/BS!E76</f>
        <v>6.8296668424206895E-3</v>
      </c>
      <c r="F39" s="414">
        <f>SUM(BS!F73:F75)/BS!F76</f>
        <v>9.8042890423280325E-3</v>
      </c>
      <c r="H39" s="34" t="s">
        <v>391</v>
      </c>
    </row>
    <row r="40" spans="2:8">
      <c r="B40" s="332" t="s">
        <v>392</v>
      </c>
      <c r="C40" s="414">
        <f>BS!C173/SUM(BS!C73:C75)</f>
        <v>3.67961375019624</v>
      </c>
      <c r="D40" s="414">
        <f>BS!D173/SUM(BS!D73:D75)</f>
        <v>4.2436080408708987</v>
      </c>
      <c r="E40" s="414">
        <f>BS!E173/SUM(BS!E73:E75)</f>
        <v>3.1685529461904927</v>
      </c>
      <c r="F40" s="414">
        <f>BS!F173/SUM(BS!F73:F75)</f>
        <v>2.3029916498373701</v>
      </c>
      <c r="H40" s="34" t="s">
        <v>393</v>
      </c>
    </row>
    <row r="41" spans="2:8">
      <c r="B41" s="328" t="s">
        <v>394</v>
      </c>
      <c r="C41" s="328"/>
      <c r="D41" s="328"/>
      <c r="E41" s="328"/>
      <c r="F41" s="328"/>
      <c r="H41" s="328" t="s">
        <v>394</v>
      </c>
    </row>
    <row r="42" spans="2:8">
      <c r="B42" s="499" t="s">
        <v>395</v>
      </c>
      <c r="C42" s="414">
        <f>BS!C4/BS!C18</f>
        <v>3.2108262171501908E-2</v>
      </c>
      <c r="D42" s="414">
        <f>BS!D4/BS!D18</f>
        <v>1.9824043818937865E-2</v>
      </c>
      <c r="E42" s="414">
        <f>BS!E4/BS!E18</f>
        <v>7.4435187669507061E-2</v>
      </c>
      <c r="F42" s="414">
        <f>BS!F4/BS!F18</f>
        <v>4.1631154586822601E-2</v>
      </c>
      <c r="H42" s="34" t="s">
        <v>396</v>
      </c>
    </row>
    <row r="43" spans="2:8" ht="19.899999999999999" customHeight="1">
      <c r="B43" s="499" t="s">
        <v>397</v>
      </c>
      <c r="C43" s="414">
        <f>BS!C8/SUM(BS!C17:C18,BS!C21)</f>
        <v>0.70923917515319546</v>
      </c>
      <c r="D43" s="414">
        <f>BS!D8/SUM(BS!D17:D18,BS!D21)</f>
        <v>0.74043320147321712</v>
      </c>
      <c r="E43" s="414">
        <f>BS!E8/SUM(BS!E17:E18,BS!E21)</f>
        <v>0.74620261514819175</v>
      </c>
      <c r="F43" s="414">
        <f>BS!F8/SUM(BS!F17:F18,BS!F21)</f>
        <v>0.76202149924753648</v>
      </c>
      <c r="H43" s="506" t="s">
        <v>398</v>
      </c>
    </row>
    <row r="44" spans="2:8">
      <c r="B44" s="499" t="s">
        <v>61</v>
      </c>
      <c r="C44" s="414">
        <f>SUM(BS!C83,BS!C86)/BS!C87</f>
        <v>0.30150073785436443</v>
      </c>
      <c r="D44" s="414">
        <f>SUM(BS!D83,BS!D86)/BS!D87</f>
        <v>0.32894438734507658</v>
      </c>
      <c r="E44" s="414">
        <f>SUM(BS!E83,BS!E86)/BS!E87</f>
        <v>0.33129285752513465</v>
      </c>
      <c r="F44" s="414">
        <f>SUM(BS!F83,BS!F86)/BS!F87</f>
        <v>0.33899327280570951</v>
      </c>
      <c r="H44" s="34" t="s">
        <v>399</v>
      </c>
    </row>
    <row r="45" spans="2:8">
      <c r="B45" s="328" t="s">
        <v>400</v>
      </c>
      <c r="C45" s="318"/>
      <c r="D45" s="318"/>
      <c r="E45" s="318"/>
      <c r="F45" s="334"/>
      <c r="H45" s="328" t="s">
        <v>400</v>
      </c>
    </row>
    <row r="46" spans="2:8">
      <c r="B46" s="330" t="s">
        <v>401</v>
      </c>
      <c r="C46" s="483">
        <f>BS!C15/BS!C23</f>
        <v>13.094589382925523</v>
      </c>
      <c r="D46" s="483">
        <f>BS!D15/BS!D23</f>
        <v>11.964684621818265</v>
      </c>
      <c r="E46" s="483">
        <f>BS!E15/BS!E23</f>
        <v>12.371673572444056</v>
      </c>
      <c r="F46" s="483">
        <f>BS!F15/BS!F23</f>
        <v>10.14831511176239</v>
      </c>
      <c r="H46" s="34" t="s">
        <v>401</v>
      </c>
    </row>
    <row r="47" spans="2:8">
      <c r="B47" s="332" t="s">
        <v>402</v>
      </c>
      <c r="C47" s="468">
        <f>BS!C13/BS!C23</f>
        <v>14.094589382925523</v>
      </c>
      <c r="D47" s="468">
        <f>BS!D13/BS!D23</f>
        <v>12.964684621818265</v>
      </c>
      <c r="E47" s="468">
        <f>BS!E13/BS!E23</f>
        <v>13.371673572444056</v>
      </c>
      <c r="F47" s="468">
        <f>BS!F13/BS!F23</f>
        <v>11.14831511176239</v>
      </c>
      <c r="H47" s="34" t="s">
        <v>403</v>
      </c>
    </row>
    <row r="48" spans="2:8">
      <c r="B48" s="328" t="s">
        <v>404</v>
      </c>
      <c r="C48" s="317"/>
      <c r="D48" s="317"/>
      <c r="E48" s="317"/>
      <c r="F48" s="333"/>
      <c r="H48" s="328" t="s">
        <v>404</v>
      </c>
    </row>
    <row r="49" spans="1:13">
      <c r="B49" s="330" t="s">
        <v>405</v>
      </c>
      <c r="C49" s="405">
        <v>4470</v>
      </c>
      <c r="D49" s="406">
        <v>4195</v>
      </c>
      <c r="E49" s="406">
        <v>5821</v>
      </c>
      <c r="F49" s="407">
        <v>5449</v>
      </c>
      <c r="H49" s="34" t="s">
        <v>406</v>
      </c>
    </row>
    <row r="50" spans="1:13">
      <c r="B50" s="335" t="s">
        <v>368</v>
      </c>
      <c r="C50" s="408">
        <v>19203.6796145431</v>
      </c>
      <c r="D50" s="409">
        <v>22389.115687261299</v>
      </c>
      <c r="E50" s="409">
        <v>28049.005853127099</v>
      </c>
      <c r="F50" s="410">
        <v>29043.381006076699</v>
      </c>
      <c r="H50" s="34" t="s">
        <v>407</v>
      </c>
    </row>
    <row r="51" spans="1:13" ht="15" thickBot="1">
      <c r="B51" s="336" t="s">
        <v>369</v>
      </c>
      <c r="C51" s="500">
        <v>25.110051654372999</v>
      </c>
      <c r="D51" s="501">
        <v>14.4055932963669</v>
      </c>
      <c r="E51" s="501">
        <v>10.7221152015093</v>
      </c>
      <c r="F51" s="502">
        <v>13.5864520415595</v>
      </c>
      <c r="H51" s="34" t="s">
        <v>408</v>
      </c>
    </row>
    <row r="52" spans="1:13">
      <c r="B52" s="307"/>
      <c r="C52" s="308"/>
      <c r="D52" s="308"/>
      <c r="E52" s="308"/>
      <c r="F52" s="308"/>
    </row>
    <row r="53" spans="1:13" ht="18">
      <c r="A53" s="323">
        <v>3</v>
      </c>
      <c r="B53" s="322" t="s">
        <v>409</v>
      </c>
      <c r="C53" s="316"/>
      <c r="D53" s="316"/>
      <c r="E53" s="316"/>
      <c r="F53" s="316"/>
      <c r="G53" s="316"/>
    </row>
    <row r="55" spans="1:13" ht="15" thickBot="1">
      <c r="A55" s="320">
        <v>3.1</v>
      </c>
      <c r="B55" s="449" t="s">
        <v>410</v>
      </c>
      <c r="C55" s="306"/>
      <c r="D55" s="306"/>
      <c r="E55" s="306"/>
      <c r="F55" s="306"/>
      <c r="G55" s="306"/>
    </row>
    <row r="56" spans="1:13">
      <c r="B56" s="348" t="s">
        <v>98</v>
      </c>
      <c r="C56" s="326">
        <v>2020</v>
      </c>
      <c r="D56" s="326">
        <v>2021</v>
      </c>
      <c r="E56" s="326">
        <v>2022</v>
      </c>
      <c r="F56" s="327">
        <v>2023</v>
      </c>
    </row>
    <row r="57" spans="1:13">
      <c r="B57" s="345" t="s">
        <v>411</v>
      </c>
      <c r="C57" s="394">
        <f>BS!C3/BS!B3-1</f>
        <v>9.558729712205194E-2</v>
      </c>
      <c r="D57" s="394">
        <f>BS!D3/BS!C3-1</f>
        <v>0.19319614976594846</v>
      </c>
      <c r="E57" s="394">
        <f>BS!E3/BS!D3-1</f>
        <v>1.8697111654681686E-2</v>
      </c>
      <c r="F57" s="394">
        <f>BS!F3/BS!E3-1</f>
        <v>-0.20948185833266031</v>
      </c>
      <c r="J57" s="304"/>
      <c r="K57" s="304"/>
      <c r="L57" s="304"/>
      <c r="M57" s="304"/>
    </row>
    <row r="58" spans="1:13">
      <c r="B58" s="346" t="s">
        <v>412</v>
      </c>
      <c r="C58" s="394">
        <f>BS!C4/BS!B4-1</f>
        <v>-4.4536787773968189E-2</v>
      </c>
      <c r="D58" s="394">
        <f>BS!D4/BS!C4-1</f>
        <v>-0.32084680660675147</v>
      </c>
      <c r="E58" s="394">
        <f>BS!E4/BS!D4-1</f>
        <v>3.1124537921156046</v>
      </c>
      <c r="F58" s="394">
        <f>BS!F4/BS!E4-1</f>
        <v>-0.37223553984515778</v>
      </c>
      <c r="J58" s="304"/>
      <c r="K58" s="304"/>
      <c r="L58" s="304"/>
      <c r="M58" s="304"/>
    </row>
    <row r="59" spans="1:13">
      <c r="B59" s="347" t="s">
        <v>413</v>
      </c>
      <c r="C59" s="394">
        <f>BS!C5/BS!B5-1</f>
        <v>7.4154188538268606E-2</v>
      </c>
      <c r="D59" s="394">
        <f>BS!D5/BS!C5-1</f>
        <v>-0.15749955186155506</v>
      </c>
      <c r="E59" s="394">
        <f>BS!E5/BS!D5-1</f>
        <v>0.38922363832981999</v>
      </c>
      <c r="F59" s="394">
        <f>BS!F5/BS!E5-1</f>
        <v>7.2794761712188905E-2</v>
      </c>
      <c r="J59" s="304"/>
      <c r="K59" s="304"/>
      <c r="L59" s="304"/>
      <c r="M59" s="304"/>
    </row>
    <row r="60" spans="1:13">
      <c r="B60" s="346" t="s">
        <v>414</v>
      </c>
      <c r="C60" s="394">
        <f>BS!C6/BS!B6-1</f>
        <v>8.491077248343526E-2</v>
      </c>
      <c r="D60" s="394">
        <f>BS!D6/BS!C6-1</f>
        <v>0.41556379253257703</v>
      </c>
      <c r="E60" s="394">
        <f>BS!E6/BS!D6-1</f>
        <v>-0.45783301965440126</v>
      </c>
      <c r="F60" s="394">
        <f>BS!F6/BS!E6-1</f>
        <v>0.66395254476434085</v>
      </c>
      <c r="J60" s="304"/>
      <c r="K60" s="304"/>
      <c r="L60" s="304"/>
      <c r="M60" s="304"/>
    </row>
    <row r="61" spans="1:13">
      <c r="B61" s="346" t="s">
        <v>415</v>
      </c>
      <c r="C61" s="394">
        <f>BS!C7/BS!B7-1</f>
        <v>-1</v>
      </c>
      <c r="D61" s="394" t="str">
        <f>IFERROR(BS!D7/BS!C7-1,"")</f>
        <v/>
      </c>
      <c r="E61" s="394">
        <f>BS!E7/BS!D7-1</f>
        <v>-0.48379298289589123</v>
      </c>
      <c r="F61" s="394">
        <f>BS!F7/BS!E7-1</f>
        <v>-1</v>
      </c>
      <c r="J61" s="304"/>
      <c r="K61" s="304"/>
      <c r="L61" s="304"/>
      <c r="M61" s="304"/>
    </row>
    <row r="62" spans="1:13">
      <c r="B62" s="346" t="s">
        <v>416</v>
      </c>
      <c r="C62" s="394">
        <f>BS!C8/BS!B8-1</f>
        <v>0.13289614856561993</v>
      </c>
      <c r="D62" s="394">
        <f>BS!D8/BS!C8-1</f>
        <v>0.13921083546732937</v>
      </c>
      <c r="E62" s="394">
        <f>BS!E8/BS!D8-1</f>
        <v>0.19845704741769388</v>
      </c>
      <c r="F62" s="394">
        <f>BS!F8/BS!E8-1</f>
        <v>0.1083548405039183</v>
      </c>
      <c r="J62" s="304"/>
      <c r="K62" s="304"/>
      <c r="L62" s="304"/>
      <c r="M62" s="304"/>
    </row>
    <row r="63" spans="1:13">
      <c r="B63" s="346" t="s">
        <v>417</v>
      </c>
      <c r="C63" s="394">
        <f>BS!C9/BS!B9-1</f>
        <v>-6.3263962723645983E-2</v>
      </c>
      <c r="D63" s="394">
        <f>BS!D9/BS!C9-1</f>
        <v>8.7131252259072589E-2</v>
      </c>
      <c r="E63" s="394">
        <f>BS!E9/BS!D9-1</f>
        <v>0.1498581985138745</v>
      </c>
      <c r="F63" s="394">
        <f>BS!F9/BS!E9-1</f>
        <v>-0.25687329567565043</v>
      </c>
      <c r="J63" s="304"/>
      <c r="K63" s="304"/>
      <c r="L63" s="304"/>
      <c r="M63" s="304"/>
    </row>
    <row r="64" spans="1:13">
      <c r="B64" s="346" t="s">
        <v>418</v>
      </c>
      <c r="C64" s="394">
        <f>BS!C10/BS!B10-1</f>
        <v>-9.1494274887370386E-2</v>
      </c>
      <c r="D64" s="394">
        <f>BS!D10/BS!C10-1</f>
        <v>4.7864990089352188E-2</v>
      </c>
      <c r="E64" s="394">
        <f>BS!E10/BS!D10-1</f>
        <v>-6.505948402847872E-2</v>
      </c>
      <c r="F64" s="394">
        <f>BS!F10/BS!E10-1</f>
        <v>1.4319352096045845E-2</v>
      </c>
      <c r="J64" s="304"/>
      <c r="K64" s="304"/>
      <c r="L64" s="304"/>
      <c r="M64" s="304"/>
    </row>
    <row r="65" spans="1:13">
      <c r="B65" s="346" t="s">
        <v>419</v>
      </c>
      <c r="C65" s="394">
        <f>BS!C11/BS!B11-1</f>
        <v>0.27254817602951098</v>
      </c>
      <c r="D65" s="394">
        <f>BS!D11/BS!C11-1</f>
        <v>1.0150758335341736E-2</v>
      </c>
      <c r="E65" s="394">
        <f>BS!E11/BS!D11-1</f>
        <v>-7.4268468172486557E-2</v>
      </c>
      <c r="F65" s="394">
        <f>BS!F11/BS!E11-1</f>
        <v>-3.4715731209457257E-2</v>
      </c>
      <c r="J65" s="304"/>
      <c r="K65" s="304"/>
      <c r="L65" s="304"/>
      <c r="M65" s="304"/>
    </row>
    <row r="66" spans="1:13">
      <c r="B66" s="346" t="s">
        <v>420</v>
      </c>
      <c r="C66" s="394">
        <f>BS!C12/BS!B12-1</f>
        <v>-9.4792487367000855E-2</v>
      </c>
      <c r="D66" s="394">
        <f>BS!D12/BS!C12-1</f>
        <v>0.46185172122867968</v>
      </c>
      <c r="E66" s="394">
        <f>BS!E12/BS!D12-1</f>
        <v>1.1049424872565754</v>
      </c>
      <c r="F66" s="394">
        <f>BS!F12/BS!E12-1</f>
        <v>-0.49733995924215602</v>
      </c>
      <c r="J66" s="304"/>
      <c r="K66" s="304"/>
      <c r="L66" s="304"/>
      <c r="M66" s="304"/>
    </row>
    <row r="67" spans="1:13">
      <c r="B67" s="353" t="s">
        <v>108</v>
      </c>
      <c r="C67" s="463">
        <f>BS!C13/BS!B13-1</f>
        <v>8.4656610407819466E-2</v>
      </c>
      <c r="D67" s="463">
        <f>BS!D13/BS!C13-1</f>
        <v>6.6687142399721733E-2</v>
      </c>
      <c r="E67" s="463">
        <f>BS!E13/BS!D13-1</f>
        <v>0.2821448486864615</v>
      </c>
      <c r="F67" s="463">
        <f>BS!F13/BS!E13-1</f>
        <v>1.4223074338935993E-2</v>
      </c>
    </row>
    <row r="68" spans="1:13">
      <c r="B68" s="349" t="s">
        <v>109</v>
      </c>
      <c r="C68" s="350"/>
      <c r="D68" s="350"/>
      <c r="E68" s="350"/>
      <c r="F68" s="351"/>
    </row>
    <row r="69" spans="1:13">
      <c r="B69" s="345" t="s">
        <v>421</v>
      </c>
      <c r="C69" s="394">
        <f>BS!C16/BS!B16-1</f>
        <v>-0.55419654974915722</v>
      </c>
      <c r="D69" s="395">
        <f>BS!D16/BS!C16-1</f>
        <v>-0.77006296841233801</v>
      </c>
      <c r="E69" s="395">
        <f>BS!E16/BS!D16-1</f>
        <v>6.109631525427023</v>
      </c>
      <c r="F69" s="396">
        <f>BS!F16/BS!E16-1</f>
        <v>-0.97517876302298734</v>
      </c>
      <c r="H69" s="304"/>
      <c r="I69" s="304"/>
      <c r="J69" s="304"/>
      <c r="K69" s="304"/>
    </row>
    <row r="70" spans="1:13">
      <c r="B70" s="346" t="s">
        <v>422</v>
      </c>
      <c r="C70" s="397">
        <f>BS!C17/BS!B17-1</f>
        <v>0.40706240949366568</v>
      </c>
      <c r="D70" s="398">
        <f>BS!D17/BS!C17-1</f>
        <v>5.9603355284217008E-2</v>
      </c>
      <c r="E70" s="398">
        <f>BS!E17/BS!D17-1</f>
        <v>1.1183997740770568</v>
      </c>
      <c r="F70" s="399">
        <f>BS!F17/BS!E17-1</f>
        <v>-8.0305370695604061E-2</v>
      </c>
      <c r="H70" s="304"/>
      <c r="I70" s="304"/>
      <c r="J70" s="304"/>
      <c r="K70" s="304"/>
    </row>
    <row r="71" spans="1:13">
      <c r="B71" s="346" t="s">
        <v>423</v>
      </c>
      <c r="C71" s="397">
        <f>BS!C18/BS!B18-1</f>
        <v>0.11165124775169977</v>
      </c>
      <c r="D71" s="398">
        <f>BS!D18/BS!C18-1</f>
        <v>9.9999020747297385E-2</v>
      </c>
      <c r="E71" s="398">
        <f>BS!E18/BS!D18-1</f>
        <v>9.5254364645801282E-2</v>
      </c>
      <c r="F71" s="399">
        <f>BS!F18/BS!E18-1</f>
        <v>0.12242299949718638</v>
      </c>
      <c r="H71" s="304"/>
      <c r="I71" s="304"/>
      <c r="J71" s="304"/>
      <c r="K71" s="304"/>
    </row>
    <row r="72" spans="1:13">
      <c r="B72" s="346" t="s">
        <v>55</v>
      </c>
      <c r="C72" s="397">
        <f>BS!C21/BS!B21-1</f>
        <v>-6.7216356655080967E-3</v>
      </c>
      <c r="D72" s="397">
        <f>BS!D21/BS!C21-1</f>
        <v>-0.18137543639543452</v>
      </c>
      <c r="E72" s="397">
        <f>BS!E21/BS!D21-1</f>
        <v>0.45722697713510563</v>
      </c>
      <c r="F72" s="397">
        <f>BS!F21/BS!E21-1</f>
        <v>-0.21411688753611491</v>
      </c>
      <c r="H72" s="304"/>
      <c r="I72" s="304"/>
      <c r="J72" s="304"/>
      <c r="K72" s="304"/>
    </row>
    <row r="73" spans="1:13">
      <c r="B73" s="346" t="s">
        <v>115</v>
      </c>
      <c r="C73" s="397">
        <f>BS!C22/BS!B22-1</f>
        <v>0.30602867870927142</v>
      </c>
      <c r="D73" s="398">
        <f>BS!D22/BS!C22-1</f>
        <v>-1.0127788011778716E-2</v>
      </c>
      <c r="E73" s="398">
        <f>BS!E22/BS!D22-1</f>
        <v>2.2589696843796241</v>
      </c>
      <c r="F73" s="399">
        <f>BS!F22/BS!E22-1</f>
        <v>-0.60411871569527853</v>
      </c>
      <c r="H73" s="304"/>
      <c r="I73" s="304"/>
      <c r="J73" s="304"/>
      <c r="K73" s="304"/>
    </row>
    <row r="74" spans="1:13">
      <c r="B74" s="346" t="s">
        <v>424</v>
      </c>
      <c r="C74" s="397">
        <f>SUM(BS!C24:C25)/SUM(BS!B24:B25)-1</f>
        <v>5.0163232744961483E-2</v>
      </c>
      <c r="D74" s="397">
        <f>SUM(BS!D24:D25)/SUM(BS!C24:C25)-1</f>
        <v>5.661731824795857E-2</v>
      </c>
      <c r="E74" s="397">
        <f>SUM(BS!E24:E25)/SUM(BS!D24:D25)-1</f>
        <v>0.24892724053535686</v>
      </c>
      <c r="F74" s="397">
        <f>SUM(BS!F24:F25)/SUM(BS!E24:E25)-1</f>
        <v>0.17778274705086128</v>
      </c>
      <c r="H74" s="304"/>
      <c r="I74" s="304"/>
      <c r="J74" s="304"/>
      <c r="K74" s="304"/>
    </row>
    <row r="75" spans="1:13">
      <c r="B75" s="352" t="s">
        <v>121</v>
      </c>
      <c r="C75" s="400">
        <f>BS!C29/BS!B29-1</f>
        <v>1.8751722402616799E-2</v>
      </c>
      <c r="D75" s="400">
        <f>BS!D29/BS!C29-1</f>
        <v>2.4569533308242297E-2</v>
      </c>
      <c r="E75" s="400">
        <f>BS!E29/BS!D29-1</f>
        <v>1.4578765511462199E-2</v>
      </c>
      <c r="F75" s="400">
        <f>BS!F29/BS!E29-1</f>
        <v>6.3439801771834059E-2</v>
      </c>
      <c r="H75" s="304"/>
      <c r="I75" s="304"/>
      <c r="J75" s="304"/>
      <c r="K75" s="304"/>
    </row>
    <row r="76" spans="1:13" ht="15" thickBot="1">
      <c r="B76" s="354" t="s">
        <v>122</v>
      </c>
      <c r="C76" s="401">
        <f>BS!C30/BS!B30-1</f>
        <v>8.4656610407819466E-2</v>
      </c>
      <c r="D76" s="402">
        <f>BS!D30/BS!C30-1</f>
        <v>6.6687142399721733E-2</v>
      </c>
      <c r="E76" s="402">
        <f>BS!E30/BS!D30-1</f>
        <v>0.2821448486864615</v>
      </c>
      <c r="F76" s="403">
        <f>BS!F30/BS!E30-1</f>
        <v>1.4223074338935993E-2</v>
      </c>
      <c r="H76" s="304"/>
      <c r="I76" s="304"/>
      <c r="J76" s="304"/>
      <c r="K76" s="304"/>
    </row>
    <row r="77" spans="1:13">
      <c r="B77" s="306"/>
      <c r="C77" s="306"/>
      <c r="D77" s="306"/>
      <c r="E77" s="306"/>
      <c r="F77" s="306"/>
      <c r="G77" s="306"/>
    </row>
    <row r="78" spans="1:13" ht="15" thickBot="1">
      <c r="A78" s="320">
        <v>3.2</v>
      </c>
      <c r="B78" s="449" t="s">
        <v>425</v>
      </c>
      <c r="C78" s="306"/>
      <c r="D78" s="306"/>
      <c r="E78" s="306"/>
      <c r="F78" s="306"/>
      <c r="G78" s="306"/>
    </row>
    <row r="79" spans="1:13">
      <c r="B79" s="348" t="s">
        <v>98</v>
      </c>
      <c r="C79" s="361">
        <v>2020</v>
      </c>
      <c r="D79" s="361">
        <v>2021</v>
      </c>
      <c r="E79" s="361">
        <v>2022</v>
      </c>
      <c r="F79" s="362">
        <v>2023</v>
      </c>
    </row>
    <row r="80" spans="1:13">
      <c r="B80" s="357" t="s">
        <v>411</v>
      </c>
      <c r="C80" s="371">
        <f>BS!C3/BS!$C$13</f>
        <v>1.1382183296139535E-2</v>
      </c>
      <c r="D80" s="372">
        <f>BS!D3/BS!$D$13</f>
        <v>1.2732109299011956E-2</v>
      </c>
      <c r="E80" s="372">
        <f>BS!E3/BS!$E$13</f>
        <v>1.0115988830328285E-2</v>
      </c>
      <c r="F80" s="373">
        <f>BS!F3/BS!$F$13</f>
        <v>7.8847276241382994E-3</v>
      </c>
    </row>
    <row r="81" spans="1:7">
      <c r="B81" s="358" t="s">
        <v>412</v>
      </c>
      <c r="C81" s="371">
        <f>BS!C4/BS!$C$13</f>
        <v>2.4987649729787613E-2</v>
      </c>
      <c r="D81" s="372">
        <f>BS!D4/BS!$D$13</f>
        <v>1.5909484079088897E-2</v>
      </c>
      <c r="E81" s="372">
        <f>BS!E4/BS!$E$13</f>
        <v>5.1029349919925963E-2</v>
      </c>
      <c r="F81" s="373">
        <f>BS!F4/BS!$F$13</f>
        <v>3.158517402634986E-2</v>
      </c>
    </row>
    <row r="82" spans="1:7">
      <c r="B82" s="358" t="s">
        <v>413</v>
      </c>
      <c r="C82" s="371">
        <f>BS!C5/BS!$C$13</f>
        <v>0.20205366068559993</v>
      </c>
      <c r="D82" s="372">
        <f>BS!D5/BS!$D$13</f>
        <v>0.15958784249772134</v>
      </c>
      <c r="E82" s="372">
        <f>BS!E5/BS!$E$13</f>
        <v>0.17291587874413908</v>
      </c>
      <c r="F82" s="373">
        <f>BS!F5/BS!$F$13</f>
        <v>0.18290182271240696</v>
      </c>
    </row>
    <row r="83" spans="1:7">
      <c r="B83" s="358" t="s">
        <v>414</v>
      </c>
      <c r="C83" s="371">
        <f>BS!C6/BS!$C$13</f>
        <v>1.4733951610562612E-3</v>
      </c>
      <c r="D83" s="372">
        <f>BS!D6/BS!$D$13</f>
        <v>1.9552920056688707E-3</v>
      </c>
      <c r="E83" s="372">
        <f>BS!E6/BS!$E$13</f>
        <v>8.2681357218993814E-4</v>
      </c>
      <c r="F83" s="373">
        <f>BS!F6/BS!$F$13</f>
        <v>1.3564851582457498E-3</v>
      </c>
    </row>
    <row r="84" spans="1:7">
      <c r="B84" s="358" t="s">
        <v>415</v>
      </c>
      <c r="C84" s="371">
        <f>BS!C7/BS!$C$13</f>
        <v>0</v>
      </c>
      <c r="D84" s="372">
        <f>BS!D7/BS!$D$13</f>
        <v>2.1432662425655669E-4</v>
      </c>
      <c r="E84" s="372">
        <f>BS!E7/BS!$E$13</f>
        <v>8.6290490116476418E-5</v>
      </c>
      <c r="F84" s="373">
        <f>BS!F7/BS!$F$13</f>
        <v>0</v>
      </c>
    </row>
    <row r="85" spans="1:7">
      <c r="B85" s="358" t="s">
        <v>416</v>
      </c>
      <c r="C85" s="371">
        <f>BS!C8/BS!$C$13</f>
        <v>0.618705209563289</v>
      </c>
      <c r="D85" s="372">
        <f>BS!D8/BS!$D$13</f>
        <v>0.6607707646207468</v>
      </c>
      <c r="E85" s="372">
        <f>BS!E8/BS!$E$13</f>
        <v>0.61764111940909616</v>
      </c>
      <c r="F85" s="373">
        <f>BS!F8/BS!$F$13</f>
        <v>0.67496544075131171</v>
      </c>
    </row>
    <row r="86" spans="1:7">
      <c r="B86" s="358" t="s">
        <v>417</v>
      </c>
      <c r="C86" s="371">
        <f>BS!C9/BS!$C$13</f>
        <v>0.11832871079206367</v>
      </c>
      <c r="D86" s="372">
        <f>BS!D9/BS!$D$13</f>
        <v>0.12059659709798279</v>
      </c>
      <c r="E86" s="372">
        <f>BS!E9/BS!$E$13</f>
        <v>0.10815391570465253</v>
      </c>
      <c r="F86" s="373">
        <f>BS!F9/BS!$F$13</f>
        <v>7.924495603667657E-2</v>
      </c>
    </row>
    <row r="87" spans="1:7">
      <c r="B87" s="358" t="s">
        <v>418</v>
      </c>
      <c r="C87" s="371">
        <f>BS!C10/BS!$C$13</f>
        <v>1.6882485275413279E-3</v>
      </c>
      <c r="D87" s="372">
        <f>BS!D10/BS!$D$13</f>
        <v>1.6584586578972142E-3</v>
      </c>
      <c r="E87" s="372">
        <f>BS!E10/BS!$E$13</f>
        <v>1.2093486901424472E-3</v>
      </c>
      <c r="F87" s="373">
        <f>BS!F10/BS!$F$13</f>
        <v>1.2094634907049628E-3</v>
      </c>
    </row>
    <row r="88" spans="1:7">
      <c r="B88" s="358" t="s">
        <v>419</v>
      </c>
      <c r="C88" s="371">
        <f>BS!C11/BS!$C$13</f>
        <v>6.4388238899951008E-3</v>
      </c>
      <c r="D88" s="372">
        <f>BS!D11/BS!$D$13</f>
        <v>6.0975543594102314E-3</v>
      </c>
      <c r="E88" s="372">
        <f>BS!E11/BS!$E$13</f>
        <v>4.4025433969658552E-3</v>
      </c>
      <c r="F88" s="373">
        <f>BS!F11/BS!$F$13</f>
        <v>4.1901096428206865E-3</v>
      </c>
    </row>
    <row r="89" spans="1:7">
      <c r="B89" s="404" t="s">
        <v>420</v>
      </c>
      <c r="C89" s="371">
        <f>BS!C12/BS!$C$13</f>
        <v>1.494211835452758E-2</v>
      </c>
      <c r="D89" s="372">
        <f>BS!D12/BS!$D$13</f>
        <v>2.0477570758215307E-2</v>
      </c>
      <c r="E89" s="372">
        <f>BS!E12/BS!$E$13</f>
        <v>3.3618751242443297E-2</v>
      </c>
      <c r="F89" s="373">
        <f>BS!F12/BS!$F$13</f>
        <v>1.666182055734523E-2</v>
      </c>
    </row>
    <row r="90" spans="1:7" ht="15" thickBot="1">
      <c r="B90" s="359" t="s">
        <v>108</v>
      </c>
      <c r="C90" s="380">
        <f>SUM(C80:C89)</f>
        <v>1</v>
      </c>
      <c r="D90" s="380">
        <f t="shared" ref="D90:F90" si="0">SUM(D80:D89)</f>
        <v>1</v>
      </c>
      <c r="E90" s="380">
        <f t="shared" si="0"/>
        <v>1</v>
      </c>
      <c r="F90" s="380">
        <f t="shared" si="0"/>
        <v>1</v>
      </c>
    </row>
    <row r="91" spans="1:7">
      <c r="B91" s="306"/>
      <c r="C91" s="306"/>
      <c r="D91" s="306"/>
      <c r="E91" s="306"/>
      <c r="F91" s="306"/>
      <c r="G91" s="306"/>
    </row>
    <row r="92" spans="1:7" ht="15" thickBot="1">
      <c r="A92" s="320">
        <v>3.3</v>
      </c>
      <c r="B92" s="449" t="s">
        <v>426</v>
      </c>
      <c r="C92" s="306"/>
      <c r="D92" s="306"/>
      <c r="E92" s="306"/>
      <c r="F92" s="306"/>
      <c r="G92" s="306"/>
    </row>
    <row r="93" spans="1:7">
      <c r="B93" s="348" t="s">
        <v>109</v>
      </c>
      <c r="C93" s="361">
        <v>2020</v>
      </c>
      <c r="D93" s="361">
        <v>2021</v>
      </c>
      <c r="E93" s="361">
        <v>2022</v>
      </c>
      <c r="F93" s="362">
        <v>2023</v>
      </c>
    </row>
    <row r="94" spans="1:7">
      <c r="B94" s="355" t="s">
        <v>421</v>
      </c>
      <c r="C94" s="371">
        <f>BS!C16/BS!$C$30</f>
        <v>3.1048153143549695E-2</v>
      </c>
      <c r="D94" s="372">
        <f>BS!D16/BS!$D$30</f>
        <v>6.6927966845518579E-3</v>
      </c>
      <c r="E94" s="372">
        <f>BS!E16/BS!$E$30</f>
        <v>3.7112279747886327E-2</v>
      </c>
      <c r="F94" s="373">
        <f>BS!F16/BS!$F$30</f>
        <v>9.0825451883934567E-4</v>
      </c>
    </row>
    <row r="95" spans="1:7">
      <c r="B95" s="356" t="s">
        <v>422</v>
      </c>
      <c r="C95" s="371">
        <f>BS!C17/BS!$C$30</f>
        <v>7.8103968251687056E-2</v>
      </c>
      <c r="D95" s="372">
        <f>BS!D17/BS!$D$30</f>
        <v>7.7585285817092037E-2</v>
      </c>
      <c r="E95" s="372">
        <f>BS!E17/BS!$E$30</f>
        <v>0.1281888330441078</v>
      </c>
      <c r="F95" s="373">
        <f>BS!F17/BS!$F$30</f>
        <v>0.11624127302004712</v>
      </c>
    </row>
    <row r="96" spans="1:7">
      <c r="B96" s="356" t="s">
        <v>423</v>
      </c>
      <c r="C96" s="371">
        <f>BS!C18/BS!$C$30</f>
        <v>0.77823114799298343</v>
      </c>
      <c r="D96" s="372">
        <f>BS!D18/BS!$D$30</f>
        <v>0.8025347514562392</v>
      </c>
      <c r="E96" s="372">
        <f>BS!E18/BS!$E$30</f>
        <v>0.68555412456937381</v>
      </c>
      <c r="F96" s="373">
        <f>BS!F18/BS!$F$30</f>
        <v>0.75869080115177556</v>
      </c>
    </row>
    <row r="97" spans="1:7">
      <c r="B97" s="356" t="s">
        <v>427</v>
      </c>
      <c r="C97" s="371">
        <f>BS!C20/BS!$C$30</f>
        <v>1.1068215152518195E-5</v>
      </c>
      <c r="D97" s="371">
        <f>BS!D20/BS!$C$30</f>
        <v>5.8112088139830868E-6</v>
      </c>
      <c r="E97" s="371">
        <f>BS!E20/BS!$C$30</f>
        <v>2.4867479782686154E-6</v>
      </c>
      <c r="F97" s="371">
        <f>BS!F20/BS!$C$30</f>
        <v>2.7521619529049261E-7</v>
      </c>
    </row>
    <row r="98" spans="1:7">
      <c r="B98" s="356" t="s">
        <v>55</v>
      </c>
      <c r="C98" s="371">
        <f>BS!C21/BS!C$30</f>
        <v>1.6015469056330233E-2</v>
      </c>
      <c r="D98" s="371">
        <f>BS!D21/BS!D$30</f>
        <v>1.229100440609584E-2</v>
      </c>
      <c r="E98" s="371">
        <f>BS!E21/BS!E$30</f>
        <v>1.3969391379607879E-2</v>
      </c>
      <c r="F98" s="371">
        <f>BS!F21/BS!F$30</f>
        <v>1.082435319644842E-2</v>
      </c>
    </row>
    <row r="99" spans="1:7">
      <c r="B99" s="356" t="s">
        <v>115</v>
      </c>
      <c r="C99" s="371">
        <f>BS!C22/BS!$C$30</f>
        <v>2.5601749805568428E-2</v>
      </c>
      <c r="D99" s="371">
        <f>BS!D22/BS!$C$30</f>
        <v>2.5342460710807035E-2</v>
      </c>
      <c r="E99" s="371">
        <f>BS!E22/BS!$C$30</f>
        <v>8.2590311184101831E-2</v>
      </c>
      <c r="F99" s="371">
        <f>BS!F22/BS!$C$30</f>
        <v>3.2695958462688843E-2</v>
      </c>
    </row>
    <row r="100" spans="1:7">
      <c r="B100" s="356" t="s">
        <v>428</v>
      </c>
      <c r="C100" s="392">
        <f>SUM(BS!C24:C27)/BS!C$30</f>
        <v>4.3250207747510525E-2</v>
      </c>
      <c r="D100" s="392">
        <f>SUM(BS!D24:D27)/BS!D$30</f>
        <v>4.2834490861594673E-2</v>
      </c>
      <c r="E100" s="392">
        <f>SUM(BS!E24:E27)/BS!E$30</f>
        <v>4.125242761091253E-2</v>
      </c>
      <c r="F100" s="392">
        <f>SUM(BS!F24:F27)/BS!F$30</f>
        <v>4.7923127587824577E-2</v>
      </c>
    </row>
    <row r="101" spans="1:7">
      <c r="B101" s="360" t="s">
        <v>429</v>
      </c>
      <c r="C101" s="393">
        <f>SUM(BS!C28:C29)/BS!$C$30</f>
        <v>2.7699003530075234E-2</v>
      </c>
      <c r="D101" s="393">
        <f>SUM(BS!D28:D29)/BS!$C$30</f>
        <v>3.6585365761705249E-2</v>
      </c>
      <c r="E101" s="393">
        <f>SUM(BS!E28:E29)/BS!$C$30</f>
        <v>4.5860674076757417E-2</v>
      </c>
      <c r="F101" s="393">
        <f>SUM(BS!F28:F29)/BS!$C$30</f>
        <v>5.7948201042628732E-2</v>
      </c>
    </row>
    <row r="102" spans="1:7" ht="15" thickBot="1">
      <c r="B102" s="359" t="s">
        <v>122</v>
      </c>
      <c r="C102" s="380">
        <f>SUM(C94:C101)</f>
        <v>0.99996076774285714</v>
      </c>
      <c r="D102" s="381">
        <f>BS!D30/BS!$D$30</f>
        <v>1</v>
      </c>
      <c r="E102" s="381">
        <f>BS!E30/BS!$E$30</f>
        <v>1</v>
      </c>
      <c r="F102" s="382">
        <f>BS!F30/BS!$F$30</f>
        <v>1</v>
      </c>
    </row>
    <row r="104" spans="1:7" ht="15" thickBot="1">
      <c r="A104" s="320">
        <v>3.4</v>
      </c>
      <c r="B104" s="449" t="s">
        <v>430</v>
      </c>
      <c r="C104" s="305"/>
      <c r="D104" s="305"/>
      <c r="E104" s="305"/>
      <c r="F104" s="305"/>
      <c r="G104" s="305"/>
    </row>
    <row r="105" spans="1:7" ht="16.5" customHeight="1" thickBot="1">
      <c r="B105" s="368" t="s">
        <v>125</v>
      </c>
      <c r="C105" s="369">
        <v>2020</v>
      </c>
      <c r="D105" s="369">
        <v>2021</v>
      </c>
      <c r="E105" s="369">
        <v>2022</v>
      </c>
      <c r="F105" s="370">
        <v>2023</v>
      </c>
    </row>
    <row r="106" spans="1:7">
      <c r="B106" s="363" t="s">
        <v>126</v>
      </c>
      <c r="C106" s="386">
        <f>BS!C36/BS!B36-1</f>
        <v>0.14449325998246909</v>
      </c>
      <c r="D106" s="387">
        <f>BS!D36/BS!C36-1</f>
        <v>0.14354824872223326</v>
      </c>
      <c r="E106" s="387">
        <f>BS!E36/BS!D36-1</f>
        <v>0.19444863707823923</v>
      </c>
      <c r="F106" s="388">
        <f>BS!F36/BS!E36-1</f>
        <v>0.10732343318560567</v>
      </c>
    </row>
    <row r="107" spans="1:7">
      <c r="B107" s="364" t="s">
        <v>127</v>
      </c>
      <c r="C107" s="386">
        <f>BS!C37/BS!B37-1</f>
        <v>-0.19634089068060256</v>
      </c>
      <c r="D107" s="387">
        <f>BS!D37/BS!C37-1</f>
        <v>0.52143633420702651</v>
      </c>
      <c r="E107" s="387">
        <f>BS!E37/BS!D37-1</f>
        <v>-0.25033498950563848</v>
      </c>
      <c r="F107" s="388">
        <f>BS!F37/BS!E37-1</f>
        <v>0.16806493542219725</v>
      </c>
    </row>
    <row r="108" spans="1:7">
      <c r="B108" s="364" t="s">
        <v>128</v>
      </c>
      <c r="C108" s="386">
        <f>BS!C38/BS!B38-1</f>
        <v>4.0421275182438432E-2</v>
      </c>
      <c r="D108" s="387">
        <f>BS!D38/BS!C38-1</f>
        <v>-5.033272165095215E-2</v>
      </c>
      <c r="E108" s="387">
        <f>BS!E38/BS!D38-1</f>
        <v>0.14053430893119923</v>
      </c>
      <c r="F108" s="388">
        <f>BS!F38/BS!E38-1</f>
        <v>0.21323471809405303</v>
      </c>
    </row>
    <row r="109" spans="1:7">
      <c r="B109" s="364" t="s">
        <v>129</v>
      </c>
      <c r="C109" s="386">
        <f>BS!C39/BS!B39-1</f>
        <v>-1</v>
      </c>
      <c r="D109" s="387" t="str">
        <f>IFERROR(BS!D39/BS!C39-1,"")</f>
        <v/>
      </c>
      <c r="E109" s="387">
        <f>BS!E39/BS!D39-1</f>
        <v>7.334083239595051</v>
      </c>
      <c r="F109" s="388">
        <f>BS!F39/BS!E39-1</f>
        <v>221.24564718585503</v>
      </c>
    </row>
    <row r="110" spans="1:7">
      <c r="B110" s="364" t="s">
        <v>130</v>
      </c>
      <c r="C110" s="386">
        <f>BS!C40/BS!B40-1</f>
        <v>3.560186444540836</v>
      </c>
      <c r="D110" s="387">
        <f>BS!D40/BS!C40-1</f>
        <v>0.69262839528464926</v>
      </c>
      <c r="E110" s="387">
        <f>BS!E40/BS!D40-1</f>
        <v>-0.32486260465382089</v>
      </c>
      <c r="F110" s="388">
        <f>BS!F40/BS!E40-1</f>
        <v>0.18725064191190999</v>
      </c>
    </row>
    <row r="111" spans="1:7" ht="15" thickBot="1">
      <c r="B111" s="367" t="s">
        <v>131</v>
      </c>
      <c r="C111" s="389">
        <f>BS!C41/BS!B41-1</f>
        <v>0.14302488691371207</v>
      </c>
      <c r="D111" s="390">
        <f>BS!D41/BS!C41-1</f>
        <v>0.14403832444140341</v>
      </c>
      <c r="E111" s="390">
        <f>BS!E41/BS!D41-1</f>
        <v>0.19184626971957552</v>
      </c>
      <c r="F111" s="391">
        <f>BS!F41/BS!E41-1</f>
        <v>0.10941966720266194</v>
      </c>
    </row>
    <row r="112" spans="1:7" ht="15" thickBot="1">
      <c r="B112" s="368" t="s">
        <v>132</v>
      </c>
      <c r="C112" s="369"/>
      <c r="D112" s="369"/>
      <c r="E112" s="369"/>
      <c r="F112" s="370"/>
    </row>
    <row r="113" spans="2:6">
      <c r="B113" s="330" t="s">
        <v>431</v>
      </c>
      <c r="C113" s="383">
        <f>BS!C43/BS!B43-1</f>
        <v>0.13013381795213341</v>
      </c>
      <c r="D113" s="384">
        <f>BS!D43/BS!C43-1</f>
        <v>0.17015810510991125</v>
      </c>
      <c r="E113" s="384">
        <f>BS!E43/BS!D43-1</f>
        <v>0.28160506457021617</v>
      </c>
      <c r="F113" s="385">
        <f>BS!F43/BS!E43-1</f>
        <v>0.21366039043803786</v>
      </c>
    </row>
    <row r="114" spans="2:6">
      <c r="B114" s="331" t="s">
        <v>432</v>
      </c>
      <c r="C114" s="383">
        <f>BS!C44/BS!B44-1</f>
        <v>-0.11080947724971768</v>
      </c>
      <c r="D114" s="384">
        <f>BS!D44/BS!C44-1</f>
        <v>-5.9317119691792097E-2</v>
      </c>
      <c r="E114" s="384">
        <f>BS!E44/BS!D44-1</f>
        <v>2.9383912819500591E-2</v>
      </c>
      <c r="F114" s="385">
        <f>BS!F44/BS!E44-1</f>
        <v>0.10660712945367967</v>
      </c>
    </row>
    <row r="115" spans="2:6">
      <c r="B115" s="331" t="s">
        <v>433</v>
      </c>
      <c r="C115" s="383">
        <f>BS!C45/BS!B45-1</f>
        <v>0.20018524363199552</v>
      </c>
      <c r="D115" s="384">
        <f>BS!D45/BS!C45-1</f>
        <v>0.13690997001962013</v>
      </c>
      <c r="E115" s="384">
        <f>BS!E45/BS!D45-1</f>
        <v>9.7078350839907346E-2</v>
      </c>
      <c r="F115" s="385">
        <f>BS!F45/BS!E45-1</f>
        <v>-4.0579648430446591E-2</v>
      </c>
    </row>
    <row r="116" spans="2:6" ht="15" thickBot="1">
      <c r="B116" s="367" t="s">
        <v>131</v>
      </c>
      <c r="C116" s="389">
        <f>BS!C46/BS!B46-1</f>
        <v>0.14302488691371207</v>
      </c>
      <c r="D116" s="390">
        <f>BS!D46/BS!C46-1</f>
        <v>0.14403832444140341</v>
      </c>
      <c r="E116" s="390">
        <f>BS!E46/BS!D46-1</f>
        <v>0.19184626971957552</v>
      </c>
      <c r="F116" s="391">
        <f>BS!F46/BS!E46-1</f>
        <v>0.10941966720266194</v>
      </c>
    </row>
    <row r="117" spans="2:6" ht="15" thickBot="1">
      <c r="B117" s="368" t="s">
        <v>136</v>
      </c>
      <c r="C117" s="369"/>
      <c r="D117" s="369"/>
      <c r="E117" s="369"/>
      <c r="F117" s="370"/>
    </row>
    <row r="118" spans="2:6">
      <c r="B118" s="330" t="s">
        <v>137</v>
      </c>
      <c r="C118" s="383">
        <f>BS!C48/BS!B48-1</f>
        <v>8.5988550704793942E-2</v>
      </c>
      <c r="D118" s="384">
        <f>BS!D48/BS!C48-1</f>
        <v>-0.10086550018892637</v>
      </c>
      <c r="E118" s="384">
        <f>BS!E48/BS!D48-1</f>
        <v>6.2910581686620004E-2</v>
      </c>
      <c r="F118" s="385">
        <f>BS!F48/BS!E48-1</f>
        <v>0.2536228472285007</v>
      </c>
    </row>
    <row r="119" spans="2:6">
      <c r="B119" s="331" t="s">
        <v>138</v>
      </c>
      <c r="C119" s="383">
        <f>BS!C49/BS!B49-1</f>
        <v>0.11084586077783132</v>
      </c>
      <c r="D119" s="384">
        <f>BS!D49/BS!C49-1</f>
        <v>9.3489379584436927E-2</v>
      </c>
      <c r="E119" s="384">
        <f>BS!E49/BS!D49-1</f>
        <v>0.19786385664736961</v>
      </c>
      <c r="F119" s="385">
        <f>BS!F49/BS!E49-1</f>
        <v>2.0930217179335076E-2</v>
      </c>
    </row>
    <row r="120" spans="2:6">
      <c r="B120" s="331" t="s">
        <v>139</v>
      </c>
      <c r="C120" s="383">
        <f>BS!C50/BS!B50-1</f>
        <v>0.19422998364819732</v>
      </c>
      <c r="D120" s="384">
        <f>BS!D50/BS!C50-1</f>
        <v>0.27800305760479227</v>
      </c>
      <c r="E120" s="384">
        <f>BS!E50/BS!D50-1</f>
        <v>0.29021670249911602</v>
      </c>
      <c r="F120" s="385">
        <f>BS!F50/BS!E50-1</f>
        <v>0.27381007497287024</v>
      </c>
    </row>
    <row r="121" spans="2:6">
      <c r="B121" s="331" t="s">
        <v>140</v>
      </c>
      <c r="C121" s="383">
        <f>BS!C51/BS!B51-1</f>
        <v>0.20574348890141092</v>
      </c>
      <c r="D121" s="384">
        <f>BS!D51/BS!C51-1</f>
        <v>0.17689056022416971</v>
      </c>
      <c r="E121" s="384">
        <f>BS!E51/BS!D51-1</f>
        <v>0.20586080058009881</v>
      </c>
      <c r="F121" s="385">
        <f>BS!F51/BS!E51-1</f>
        <v>4.8073329820349509E-2</v>
      </c>
    </row>
    <row r="122" spans="2:6">
      <c r="B122" s="331" t="s">
        <v>141</v>
      </c>
      <c r="C122" s="383">
        <f>BS!C52/BS!B52-1</f>
        <v>0.16973003666168784</v>
      </c>
      <c r="D122" s="384">
        <f>BS!D52/BS!C52-1</f>
        <v>6.2814795719155159E-2</v>
      </c>
      <c r="E122" s="384">
        <f>BS!E52/BS!D52-1</f>
        <v>-0.18818642009237674</v>
      </c>
      <c r="F122" s="385">
        <f>BS!F52/BS!E52-1</f>
        <v>-0.47049832830558247</v>
      </c>
    </row>
    <row r="123" spans="2:6">
      <c r="B123" s="331" t="s">
        <v>142</v>
      </c>
      <c r="C123" s="383" t="str">
        <f>IFERROR(BS!C53/BS!B53-1,"")</f>
        <v/>
      </c>
      <c r="D123" s="383" t="str">
        <f>IFERROR(BS!D53/BS!C53-1,"")</f>
        <v/>
      </c>
      <c r="E123" s="383" t="str">
        <f>IFERROR(BS!E53/BS!D53-1,"")</f>
        <v/>
      </c>
      <c r="F123" s="383" t="str">
        <f>IFERROR(BS!F53/BS!E53-1,"")</f>
        <v/>
      </c>
    </row>
    <row r="124" spans="2:6">
      <c r="B124" s="332" t="s">
        <v>143</v>
      </c>
      <c r="C124" s="383" t="str">
        <f>IFERROR(BS!C54/BS!B54-1,"")</f>
        <v/>
      </c>
      <c r="D124" s="383" t="str">
        <f>IFERROR(BS!D54/BS!C54-1,"")</f>
        <v/>
      </c>
      <c r="E124" s="383" t="str">
        <f>IFERROR(BS!E54/BS!D54-1,"")</f>
        <v/>
      </c>
      <c r="F124" s="383" t="str">
        <f>IFERROR(BS!F54/BS!E54-1,"")</f>
        <v/>
      </c>
    </row>
    <row r="125" spans="2:6">
      <c r="B125" s="332" t="s">
        <v>144</v>
      </c>
      <c r="C125" s="383" t="str">
        <f>IFERROR(BS!C55/BS!B55-1,"")</f>
        <v/>
      </c>
      <c r="D125" s="383" t="str">
        <f>IFERROR(BS!D55/BS!C55-1,"")</f>
        <v/>
      </c>
      <c r="E125" s="383" t="str">
        <f>IFERROR(BS!E55/BS!D55-1,"")</f>
        <v/>
      </c>
      <c r="F125" s="383" t="str">
        <f>IFERROR(BS!F55/BS!E55-1,"")</f>
        <v/>
      </c>
    </row>
    <row r="126" spans="2:6">
      <c r="B126" s="332" t="s">
        <v>145</v>
      </c>
      <c r="C126" s="464">
        <f>BS!C56/BS!B56-1</f>
        <v>6.0994287621645382E-2</v>
      </c>
      <c r="D126" s="465">
        <f>BS!D56/BS!C56-1</f>
        <v>0.17115800934450354</v>
      </c>
      <c r="E126" s="465">
        <f>BS!E56/BS!D56-1</f>
        <v>0.16830770072026557</v>
      </c>
      <c r="F126" s="466">
        <f>BS!F56/BS!E56-1</f>
        <v>0.22606929233452933</v>
      </c>
    </row>
    <row r="127" spans="2:6" ht="15" thickBot="1">
      <c r="B127" s="367" t="s">
        <v>131</v>
      </c>
      <c r="C127" s="389">
        <f>BS!C57/BS!B57-1</f>
        <v>0.14302488691371207</v>
      </c>
      <c r="D127" s="390">
        <f>BS!D57/BS!C57-1</f>
        <v>0.14403832444140341</v>
      </c>
      <c r="E127" s="390">
        <f>BS!E57/BS!D57-1</f>
        <v>0.19184626971957552</v>
      </c>
      <c r="F127" s="391">
        <f>BS!F57/BS!E57-1</f>
        <v>0.10941966720266194</v>
      </c>
    </row>
    <row r="128" spans="2:6" ht="15" thickBot="1">
      <c r="B128" s="368" t="s">
        <v>146</v>
      </c>
      <c r="C128" s="369"/>
      <c r="D128" s="369"/>
      <c r="E128" s="369"/>
      <c r="F128" s="370"/>
    </row>
    <row r="129" spans="1:7">
      <c r="B129" s="330" t="s">
        <v>147</v>
      </c>
      <c r="C129" s="383">
        <f>BS!C59/BS!B59-1</f>
        <v>2.5792519301117478E-2</v>
      </c>
      <c r="D129" s="384">
        <f>BS!D59/BS!C59-1</f>
        <v>0.13744019757943771</v>
      </c>
      <c r="E129" s="384">
        <f>BS!E59/BS!D59-1</f>
        <v>0.20007156694572359</v>
      </c>
      <c r="F129" s="385">
        <f>BS!F59/BS!E59-1</f>
        <v>0.15061630755740252</v>
      </c>
    </row>
    <row r="130" spans="1:7">
      <c r="B130" s="331" t="s">
        <v>148</v>
      </c>
      <c r="C130" s="383">
        <f>BS!C60/BS!B60-1</f>
        <v>0.32625530304781525</v>
      </c>
      <c r="D130" s="384">
        <f>BS!D60/BS!C60-1</f>
        <v>0.48297428925045094</v>
      </c>
      <c r="E130" s="384">
        <f>BS!E60/BS!D60-1</f>
        <v>-2.0020678958928562E-2</v>
      </c>
      <c r="F130" s="385">
        <f>BS!F60/BS!E60-1</f>
        <v>-6.2115277496995303E-2</v>
      </c>
    </row>
    <row r="131" spans="1:7">
      <c r="B131" s="331" t="s">
        <v>149</v>
      </c>
      <c r="C131" s="383">
        <f>BS!C61/BS!B61-1</f>
        <v>1.2026845833797419</v>
      </c>
      <c r="D131" s="384">
        <f>BS!D61/BS!C61-1</f>
        <v>0.2154404037123181</v>
      </c>
      <c r="E131" s="384">
        <f>BS!E61/BS!D61-1</f>
        <v>-0.13292104205346578</v>
      </c>
      <c r="F131" s="385">
        <f>BS!F61/BS!E61-1</f>
        <v>7.9573536428164005E-2</v>
      </c>
    </row>
    <row r="132" spans="1:7">
      <c r="B132" s="331" t="s">
        <v>150</v>
      </c>
      <c r="C132" s="383">
        <f>BS!C62/BS!B62-1</f>
        <v>8.4914667833668522E-2</v>
      </c>
      <c r="D132" s="384">
        <f>BS!D62/BS!C62-1</f>
        <v>6.9727086673202709E-2</v>
      </c>
      <c r="E132" s="384">
        <f>BS!E62/BS!D62-1</f>
        <v>9.995326191668763E-2</v>
      </c>
      <c r="F132" s="385">
        <f>BS!F62/BS!E62-1</f>
        <v>5.8971238509731627E-2</v>
      </c>
    </row>
    <row r="133" spans="1:7">
      <c r="B133" s="331" t="s">
        <v>151</v>
      </c>
      <c r="C133" s="383">
        <f>BS!C63/BS!B63-1</f>
        <v>9.1856595431363264E-3</v>
      </c>
      <c r="D133" s="384">
        <f>BS!D63/BS!C63-1</f>
        <v>3.3749219416905119E-2</v>
      </c>
      <c r="E133" s="384">
        <f>BS!E63/BS!D63-1</f>
        <v>0.26517290078641009</v>
      </c>
      <c r="F133" s="385">
        <f>BS!F63/BS!E63-1</f>
        <v>6.9660565590744961E-2</v>
      </c>
    </row>
    <row r="134" spans="1:7">
      <c r="B134" s="331" t="s">
        <v>152</v>
      </c>
      <c r="C134" s="383">
        <f>BS!C64/BS!B64-1</f>
        <v>5.8710721193929505E-2</v>
      </c>
      <c r="D134" s="384">
        <f>BS!D64/BS!C64-1</f>
        <v>0.47026494567963573</v>
      </c>
      <c r="E134" s="384">
        <f>BS!E64/BS!D64-1</f>
        <v>0.43849142831823196</v>
      </c>
      <c r="F134" s="385">
        <f>BS!F64/BS!E64-1</f>
        <v>7.2904926656744307E-2</v>
      </c>
    </row>
    <row r="135" spans="1:7">
      <c r="B135" s="331" t="s">
        <v>153</v>
      </c>
      <c r="C135" s="383">
        <f>BS!C65/BS!B65-1</f>
        <v>-0.20809474131813011</v>
      </c>
      <c r="D135" s="384">
        <f>BS!D65/BS!C65-1</f>
        <v>0.66446409968611531</v>
      </c>
      <c r="E135" s="384">
        <f>BS!E65/BS!D65-1</f>
        <v>8.0201984123841719E-2</v>
      </c>
      <c r="F135" s="385">
        <f>BS!F65/BS!E65-1</f>
        <v>7.3487973717429655E-2</v>
      </c>
    </row>
    <row r="136" spans="1:7">
      <c r="B136" s="331" t="s">
        <v>154</v>
      </c>
      <c r="C136" s="383">
        <f>BS!C66/BS!B66-1</f>
        <v>0.53783019691933021</v>
      </c>
      <c r="D136" s="384">
        <f>BS!D66/BS!C66-1</f>
        <v>-0.24934577716410866</v>
      </c>
      <c r="E136" s="384">
        <f>BS!E66/BS!D66-1</f>
        <v>0.21188166393895469</v>
      </c>
      <c r="F136" s="385">
        <f>BS!F66/BS!E66-1</f>
        <v>0.10682258755648721</v>
      </c>
    </row>
    <row r="137" spans="1:7">
      <c r="B137" s="331" t="s">
        <v>155</v>
      </c>
      <c r="C137" s="383">
        <f>BS!C67/BS!B67-1</f>
        <v>-6.6033788226524615E-2</v>
      </c>
      <c r="D137" s="384">
        <f>BS!D67/BS!C67-1</f>
        <v>0.34147788190302308</v>
      </c>
      <c r="E137" s="384">
        <f>BS!E67/BS!D67-1</f>
        <v>0.28112016496972037</v>
      </c>
      <c r="F137" s="385">
        <f>BS!F67/BS!E67-1</f>
        <v>0.12419331182203197</v>
      </c>
    </row>
    <row r="138" spans="1:7" ht="15" thickBot="1">
      <c r="B138" s="366" t="s">
        <v>131</v>
      </c>
      <c r="C138" s="380">
        <f>BS!C68/BS!B68-1</f>
        <v>0.14302488691371207</v>
      </c>
      <c r="D138" s="381">
        <f>BS!D68/BS!C68-1</f>
        <v>0.14403832444140341</v>
      </c>
      <c r="E138" s="381">
        <f>BS!E68/BS!D68-1</f>
        <v>0.19184626971957552</v>
      </c>
      <c r="F138" s="382">
        <f>BS!F68/BS!E68-1</f>
        <v>0.10941966720266194</v>
      </c>
    </row>
    <row r="139" spans="1:7">
      <c r="B139" s="306"/>
      <c r="C139" s="306"/>
      <c r="D139" s="306"/>
      <c r="E139" s="306"/>
      <c r="F139" s="306"/>
      <c r="G139" s="306"/>
    </row>
    <row r="140" spans="1:7" ht="15" thickBot="1">
      <c r="A140" s="320">
        <v>3.5</v>
      </c>
      <c r="B140" s="449" t="s">
        <v>434</v>
      </c>
      <c r="C140" s="305"/>
      <c r="D140" s="305"/>
      <c r="E140" s="305"/>
      <c r="F140" s="305"/>
      <c r="G140" s="305"/>
    </row>
    <row r="141" spans="1:7" ht="15" thickBot="1">
      <c r="B141" s="368" t="s">
        <v>125</v>
      </c>
      <c r="C141" s="369">
        <v>2020</v>
      </c>
      <c r="D141" s="369">
        <v>2021</v>
      </c>
      <c r="E141" s="369">
        <v>2022</v>
      </c>
      <c r="F141" s="370">
        <v>2023</v>
      </c>
    </row>
    <row r="142" spans="1:7">
      <c r="B142" s="330" t="s">
        <v>126</v>
      </c>
      <c r="C142" s="371">
        <f>BS!C36/BS!$C$41</f>
        <v>0.99073809272978153</v>
      </c>
      <c r="D142" s="372">
        <f>BS!D36/BS!$D$41</f>
        <v>0.99031368676983178</v>
      </c>
      <c r="E142" s="372">
        <f>BS!E36/BS!$E$41</f>
        <v>0.99247601263245688</v>
      </c>
      <c r="F142" s="373">
        <f>BS!F36/BS!$F$41</f>
        <v>0.99060074212815952</v>
      </c>
    </row>
    <row r="143" spans="1:7">
      <c r="B143" s="331" t="s">
        <v>127</v>
      </c>
      <c r="C143" s="371">
        <f>BS!C37/BS!$C$41</f>
        <v>3.0361379390608082E-3</v>
      </c>
      <c r="D143" s="372">
        <f>BS!D37/BS!$D$41</f>
        <v>4.0377061480060122E-3</v>
      </c>
      <c r="E143" s="372">
        <f>BS!E37/BS!$E$41</f>
        <v>2.5396958472926785E-3</v>
      </c>
      <c r="F143" s="373">
        <f>BS!F37/BS!$F$41</f>
        <v>2.6739472478794967E-3</v>
      </c>
    </row>
    <row r="144" spans="1:7">
      <c r="B144" s="331" t="s">
        <v>128</v>
      </c>
      <c r="C144" s="371">
        <f>BS!C38/BS!$C$41</f>
        <v>5.4871641031428988E-3</v>
      </c>
      <c r="D144" s="372">
        <f>BS!D38/BS!$D$41</f>
        <v>4.5549000311949014E-3</v>
      </c>
      <c r="E144" s="372">
        <f>BS!E38/BS!$E$41</f>
        <v>4.3588002004250849E-3</v>
      </c>
      <c r="F144" s="373">
        <f>BS!F38/BS!$F$41</f>
        <v>4.7666792727093467E-3</v>
      </c>
    </row>
    <row r="145" spans="2:6">
      <c r="B145" s="331" t="s">
        <v>129</v>
      </c>
      <c r="C145" s="371">
        <f>BS!C39/BS!$C$41</f>
        <v>0</v>
      </c>
      <c r="D145" s="372">
        <f>BS!D39/BS!$D$41</f>
        <v>9.2531880472479443E-7</v>
      </c>
      <c r="E145" s="372">
        <f>BS!E39/BS!$E$41</f>
        <v>6.4703679808919352E-6</v>
      </c>
      <c r="F145" s="373">
        <f>BS!F39/BS!$F$41</f>
        <v>1.2961831865391615E-3</v>
      </c>
    </row>
    <row r="146" spans="2:6">
      <c r="B146" s="331" t="s">
        <v>130</v>
      </c>
      <c r="C146" s="371">
        <f>BS!C40/BS!$C$41</f>
        <v>7.386052280147317E-4</v>
      </c>
      <c r="D146" s="372">
        <f>BS!D40/BS!$D$41</f>
        <v>1.0927817321625584E-3</v>
      </c>
      <c r="E146" s="372">
        <f>BS!E40/BS!$E$41</f>
        <v>6.1902095184448937E-4</v>
      </c>
      <c r="F146" s="373">
        <f>BS!F40/BS!$F$41</f>
        <v>6.6244816471244198E-4</v>
      </c>
    </row>
    <row r="147" spans="2:6" ht="15" thickBot="1">
      <c r="B147" s="365" t="s">
        <v>131</v>
      </c>
      <c r="C147" s="374">
        <f>BS!C41/BS!$C$41</f>
        <v>1</v>
      </c>
      <c r="D147" s="375">
        <f>BS!D41/BS!$D$41</f>
        <v>1</v>
      </c>
      <c r="E147" s="375">
        <f>BS!E41/BS!$E$41</f>
        <v>1</v>
      </c>
      <c r="F147" s="376">
        <f>BS!F41/BS!$F$41</f>
        <v>1</v>
      </c>
    </row>
    <row r="148" spans="2:6" ht="15" thickBot="1">
      <c r="B148" s="368" t="s">
        <v>132</v>
      </c>
      <c r="C148" s="369"/>
      <c r="D148" s="369"/>
      <c r="E148" s="369"/>
      <c r="F148" s="370"/>
    </row>
    <row r="149" spans="2:6">
      <c r="B149" s="330" t="s">
        <v>133</v>
      </c>
      <c r="C149" s="371">
        <f>BS!C43/BS!$C$46</f>
        <v>0.51724191700745858</v>
      </c>
      <c r="D149" s="372">
        <f>BS!D43/BS!$D$46</f>
        <v>0.52905117648431221</v>
      </c>
      <c r="E149" s="372">
        <f>BS!E43/BS!$E$46</f>
        <v>0.56889439890486682</v>
      </c>
      <c r="F149" s="373">
        <f>BS!F43/BS!$F$46</f>
        <v>0.62234753782021013</v>
      </c>
    </row>
    <row r="150" spans="2:6">
      <c r="B150" s="331" t="s">
        <v>134</v>
      </c>
      <c r="C150" s="371">
        <f>BS!C44/BS!$C$46</f>
        <v>5.131286778013202E-2</v>
      </c>
      <c r="D150" s="372">
        <f>BS!D44/BS!$D$46</f>
        <v>4.219188748231583E-2</v>
      </c>
      <c r="E150" s="372">
        <f>BS!E44/BS!$E$46</f>
        <v>3.6440647866444409E-2</v>
      </c>
      <c r="F150" s="373">
        <f>BS!F44/BS!$F$46</f>
        <v>3.6348265605022849E-2</v>
      </c>
    </row>
    <row r="151" spans="2:6">
      <c r="B151" s="331" t="s">
        <v>135</v>
      </c>
      <c r="C151" s="371">
        <f>BS!C45/BS!$C$46</f>
        <v>0.43144521521240936</v>
      </c>
      <c r="D151" s="372">
        <f>BS!D45/BS!$D$46</f>
        <v>0.42875693603337195</v>
      </c>
      <c r="E151" s="372">
        <f>BS!E45/BS!$E$46</f>
        <v>0.39466495322868872</v>
      </c>
      <c r="F151" s="373">
        <f>BS!F45/BS!$F$46</f>
        <v>0.34130419657476702</v>
      </c>
    </row>
    <row r="152" spans="2:6" ht="15" thickBot="1">
      <c r="B152" s="365" t="s">
        <v>131</v>
      </c>
      <c r="C152" s="374">
        <f>BS!C46/BS!$C$46</f>
        <v>1</v>
      </c>
      <c r="D152" s="375">
        <f>BS!D46/BS!$D$46</f>
        <v>1</v>
      </c>
      <c r="E152" s="375">
        <f>BS!E46/BS!$E$46</f>
        <v>1</v>
      </c>
      <c r="F152" s="376">
        <f>BS!F46/BS!$F$46</f>
        <v>1</v>
      </c>
    </row>
    <row r="153" spans="2:6" ht="15" thickBot="1">
      <c r="B153" s="368" t="s">
        <v>136</v>
      </c>
      <c r="C153" s="369"/>
      <c r="D153" s="369"/>
      <c r="E153" s="369"/>
      <c r="F153" s="370"/>
    </row>
    <row r="154" spans="2:6">
      <c r="B154" s="330" t="s">
        <v>137</v>
      </c>
      <c r="C154" s="371">
        <f>BS!C48/BS!C$57</f>
        <v>7.9655559748292318E-2</v>
      </c>
      <c r="D154" s="371">
        <f>BS!D48/BS!D$57</f>
        <v>6.2603726065227863E-2</v>
      </c>
      <c r="E154" s="371">
        <f>BS!E48/BS!E$57</f>
        <v>5.5831162607403721E-2</v>
      </c>
      <c r="F154" s="371">
        <f>BS!F48/BS!F$57</f>
        <v>6.3088137970773242E-2</v>
      </c>
    </row>
    <row r="155" spans="2:6">
      <c r="B155" s="331" t="s">
        <v>138</v>
      </c>
      <c r="C155" s="371">
        <f>BS!C49/BS!C$57</f>
        <v>0.18462612446543833</v>
      </c>
      <c r="D155" s="371">
        <f>BS!D49/BS!D$57</f>
        <v>0.17646848185384512</v>
      </c>
      <c r="E155" s="371">
        <f>BS!E49/BS!E$57</f>
        <v>0.17735946457246468</v>
      </c>
      <c r="F155" s="371">
        <f>BS!F49/BS!F$57</f>
        <v>0.1632129319839252</v>
      </c>
    </row>
    <row r="156" spans="2:6">
      <c r="B156" s="331" t="s">
        <v>139</v>
      </c>
      <c r="C156" s="371">
        <f>BS!C50/BS!C$57</f>
        <v>6.2065459140777393E-2</v>
      </c>
      <c r="D156" s="371">
        <f>BS!D50/BS!D$57</f>
        <v>6.9333207514956377E-2</v>
      </c>
      <c r="E156" s="371">
        <f>BS!E50/BS!E$57</f>
        <v>7.5055705292161046E-2</v>
      </c>
      <c r="F156" s="371">
        <f>BS!F50/BS!F$57</f>
        <v>8.6177229782140222E-2</v>
      </c>
    </row>
    <row r="157" spans="2:6">
      <c r="B157" s="331" t="s">
        <v>140</v>
      </c>
      <c r="C157" s="371">
        <f>BS!C51/BS!C$57</f>
        <v>0.45338998135864633</v>
      </c>
      <c r="D157" s="371">
        <f>BS!D51/BS!D$57</f>
        <v>0.46640954045113642</v>
      </c>
      <c r="E157" s="371">
        <f>BS!E51/BS!E$57</f>
        <v>0.47189389784215541</v>
      </c>
      <c r="F157" s="371">
        <f>BS!F51/BS!F$57</f>
        <v>0.44580010924124441</v>
      </c>
    </row>
    <row r="158" spans="2:6">
      <c r="B158" s="331" t="s">
        <v>141</v>
      </c>
      <c r="C158" s="371">
        <f>BS!C52/BS!C$57</f>
        <v>3.1594964150135937E-3</v>
      </c>
      <c r="D158" s="371">
        <f>BS!D52/BS!D$57</f>
        <v>2.9351809857748054E-3</v>
      </c>
      <c r="E158" s="371">
        <f>BS!E52/BS!E$57</f>
        <v>1.9992677279589716E-3</v>
      </c>
      <c r="F158" s="371">
        <f>BS!F52/BS!F$57</f>
        <v>9.5420663200267055E-4</v>
      </c>
    </row>
    <row r="159" spans="2:6">
      <c r="B159" s="331" t="s">
        <v>142</v>
      </c>
      <c r="C159" s="371">
        <f>BS!C53/BS!C$57</f>
        <v>0</v>
      </c>
      <c r="D159" s="371">
        <f>BS!D53/BS!D$57</f>
        <v>0</v>
      </c>
      <c r="E159" s="371">
        <f>BS!E53/BS!E$57</f>
        <v>0</v>
      </c>
      <c r="F159" s="371">
        <f>BS!F53/BS!F$57</f>
        <v>0</v>
      </c>
    </row>
    <row r="160" spans="2:6">
      <c r="B160" s="331" t="s">
        <v>143</v>
      </c>
      <c r="C160" s="371">
        <f>BS!C54/BS!C$57</f>
        <v>0</v>
      </c>
      <c r="D160" s="371">
        <f>BS!D54/BS!D$57</f>
        <v>0</v>
      </c>
      <c r="E160" s="371">
        <f>BS!E54/BS!E$57</f>
        <v>0</v>
      </c>
      <c r="F160" s="371">
        <f>BS!F54/BS!F$57</f>
        <v>0</v>
      </c>
    </row>
    <row r="161" spans="1:7">
      <c r="B161" s="331" t="s">
        <v>144</v>
      </c>
      <c r="C161" s="371">
        <f>BS!C55/BS!C$57</f>
        <v>0</v>
      </c>
      <c r="D161" s="371">
        <f>BS!D55/BS!D$57</f>
        <v>0</v>
      </c>
      <c r="E161" s="371">
        <f>BS!E55/BS!E$57</f>
        <v>0</v>
      </c>
      <c r="F161" s="371">
        <f>BS!F55/BS!F$57</f>
        <v>0</v>
      </c>
    </row>
    <row r="162" spans="1:7">
      <c r="B162" s="331" t="s">
        <v>145</v>
      </c>
      <c r="C162" s="371">
        <f>BS!C56/BS!C$57</f>
        <v>0.21710337887183206</v>
      </c>
      <c r="D162" s="371">
        <f>BS!D56/BS!D$57</f>
        <v>0.22224986312905942</v>
      </c>
      <c r="E162" s="371">
        <f>BS!E56/BS!E$57</f>
        <v>0.21786050195785614</v>
      </c>
      <c r="F162" s="371">
        <f>BS!F56/BS!F$57</f>
        <v>0.24076738438991424</v>
      </c>
    </row>
    <row r="163" spans="1:7" ht="15" thickBot="1">
      <c r="B163" s="365" t="s">
        <v>131</v>
      </c>
      <c r="C163" s="374">
        <f>SUM(C154:C162)</f>
        <v>1</v>
      </c>
      <c r="D163" s="374">
        <f t="shared" ref="D163:F163" si="1">SUM(D154:D162)</f>
        <v>1</v>
      </c>
      <c r="E163" s="374">
        <f t="shared" si="1"/>
        <v>1</v>
      </c>
      <c r="F163" s="374">
        <f t="shared" si="1"/>
        <v>1</v>
      </c>
    </row>
    <row r="164" spans="1:7" ht="15" thickBot="1">
      <c r="B164" s="368" t="s">
        <v>146</v>
      </c>
      <c r="C164" s="369"/>
      <c r="D164" s="369"/>
      <c r="E164" s="369"/>
      <c r="F164" s="370"/>
    </row>
    <row r="165" spans="1:7">
      <c r="B165" s="330" t="s">
        <v>147</v>
      </c>
      <c r="C165" s="371">
        <f>BS!C59/BS!$C$68</f>
        <v>0.21257907414354771</v>
      </c>
      <c r="D165" s="372">
        <f>BS!D59/BS!$D$68</f>
        <v>0.21135304554867243</v>
      </c>
      <c r="E165" s="372">
        <f>BS!E59/BS!$E$68</f>
        <v>0.21281165784075812</v>
      </c>
      <c r="F165" s="373">
        <f>BS!F59/BS!$F$68</f>
        <v>0.22071410052366786</v>
      </c>
    </row>
    <row r="166" spans="1:7">
      <c r="B166" s="331" t="s">
        <v>148</v>
      </c>
      <c r="C166" s="371">
        <f>BS!C60/BS!$C$68</f>
        <v>4.8028107647006033E-2</v>
      </c>
      <c r="D166" s="372">
        <f>BS!D60/BS!$D$68</f>
        <v>6.225704793293485E-2</v>
      </c>
      <c r="E166" s="372">
        <f>BS!E60/BS!$E$68</f>
        <v>5.119000756506447E-2</v>
      </c>
      <c r="F166" s="373">
        <f>BS!F60/BS!$F$68</f>
        <v>4.3275171208333171E-2</v>
      </c>
    </row>
    <row r="167" spans="1:7">
      <c r="B167" s="331" t="s">
        <v>149</v>
      </c>
      <c r="C167" s="371">
        <f>BS!C61/BS!$C$68</f>
        <v>8.4870827933614085E-2</v>
      </c>
      <c r="D167" s="372">
        <f>BS!D61/BS!$D$68</f>
        <v>9.0167812706272776E-2</v>
      </c>
      <c r="E167" s="372">
        <f>BS!E61/BS!$E$68</f>
        <v>6.5597900558155481E-2</v>
      </c>
      <c r="F167" s="373">
        <f>BS!F61/BS!$F$68</f>
        <v>6.3833154919989712E-2</v>
      </c>
    </row>
    <row r="168" spans="1:7">
      <c r="B168" s="331" t="s">
        <v>150</v>
      </c>
      <c r="C168" s="371">
        <f>BS!C62/BS!$C$68</f>
        <v>3.1964740693130503E-2</v>
      </c>
      <c r="D168" s="372">
        <f>BS!D62/BS!$D$68</f>
        <v>2.9888464579735527E-2</v>
      </c>
      <c r="E168" s="372">
        <f>BS!E62/BS!$E$68</f>
        <v>2.7584022321852558E-2</v>
      </c>
      <c r="F168" s="373">
        <f>BS!F62/BS!$F$68</f>
        <v>2.6329699341733646E-2</v>
      </c>
    </row>
    <row r="169" spans="1:7">
      <c r="B169" s="331" t="s">
        <v>151</v>
      </c>
      <c r="C169" s="371">
        <f>BS!C63/BS!$C$68</f>
        <v>1.7375398868548844E-2</v>
      </c>
      <c r="D169" s="372">
        <f>BS!D63/BS!$D$68</f>
        <v>1.5700352543862466E-2</v>
      </c>
      <c r="E169" s="372">
        <f>BS!E63/BS!$E$68</f>
        <v>1.6666294199134766E-2</v>
      </c>
      <c r="F169" s="373">
        <f>BS!F63/BS!$F$68</f>
        <v>1.6069011760264453E-2</v>
      </c>
    </row>
    <row r="170" spans="1:7">
      <c r="B170" s="331" t="s">
        <v>152</v>
      </c>
      <c r="C170" s="371">
        <f>BS!C64/BS!$C$68</f>
        <v>2.0325596096895191E-2</v>
      </c>
      <c r="D170" s="372">
        <f>BS!D64/BS!$D$68</f>
        <v>2.6121512542771858E-2</v>
      </c>
      <c r="E170" s="372">
        <f>BS!E64/BS!$E$68</f>
        <v>3.152719678883209E-2</v>
      </c>
      <c r="F170" s="373">
        <f>BS!F64/BS!$F$68</f>
        <v>3.0489530480115032E-2</v>
      </c>
    </row>
    <row r="171" spans="1:7">
      <c r="B171" s="331" t="s">
        <v>153</v>
      </c>
      <c r="C171" s="371">
        <f>BS!C65/BS!$C$68</f>
        <v>1.2105993227261842E-2</v>
      </c>
      <c r="D171" s="372">
        <f>BS!D65/BS!$D$68</f>
        <v>1.7613038555906048E-2</v>
      </c>
      <c r="E171" s="372">
        <f>BS!E65/BS!$E$68</f>
        <v>1.5963165450034004E-2</v>
      </c>
      <c r="F171" s="373">
        <f>BS!F65/BS!$F$68</f>
        <v>1.5446153191317763E-2</v>
      </c>
    </row>
    <row r="172" spans="1:7">
      <c r="B172" s="331" t="s">
        <v>154</v>
      </c>
      <c r="C172" s="371">
        <f>BS!C66/BS!$C$68</f>
        <v>0.24145733444587886</v>
      </c>
      <c r="D172" s="372">
        <f>BS!D66/BS!$D$68</f>
        <v>0.1584308531141175</v>
      </c>
      <c r="E172" s="372">
        <f>BS!E66/BS!$E$68</f>
        <v>0.16109413669296427</v>
      </c>
      <c r="F172" s="373">
        <f>BS!F66/BS!$F$68</f>
        <v>0.16071702574397753</v>
      </c>
    </row>
    <row r="173" spans="1:7">
      <c r="B173" s="331" t="s">
        <v>155</v>
      </c>
      <c r="C173" s="371">
        <f>BS!C67/BS!$C$68</f>
        <v>0.33129292694411694</v>
      </c>
      <c r="D173" s="372">
        <f>BS!D67/BS!$D$68</f>
        <v>0.38846787247572651</v>
      </c>
      <c r="E173" s="372">
        <f>BS!E67/BS!$E$68</f>
        <v>0.41756561858320423</v>
      </c>
      <c r="F173" s="373">
        <f>BS!F67/BS!$F$68</f>
        <v>0.42312615283060084</v>
      </c>
    </row>
    <row r="174" spans="1:7" ht="15" thickBot="1">
      <c r="B174" s="366" t="s">
        <v>131</v>
      </c>
      <c r="C174" s="380">
        <f>SUM(C165:C173)</f>
        <v>1</v>
      </c>
      <c r="D174" s="380">
        <f t="shared" ref="D174:F174" si="2">SUM(D165:D173)</f>
        <v>1</v>
      </c>
      <c r="E174" s="380">
        <f t="shared" si="2"/>
        <v>1</v>
      </c>
      <c r="F174" s="380">
        <f t="shared" si="2"/>
        <v>1</v>
      </c>
    </row>
    <row r="175" spans="1:7">
      <c r="B175" s="306"/>
      <c r="C175" s="306"/>
      <c r="D175" s="306"/>
      <c r="E175" s="306"/>
      <c r="F175" s="306"/>
      <c r="G175" s="306"/>
    </row>
    <row r="176" spans="1:7" ht="15" thickBot="1">
      <c r="A176" s="320">
        <v>3.6</v>
      </c>
      <c r="B176" s="449" t="s">
        <v>435</v>
      </c>
      <c r="C176" s="305"/>
      <c r="D176" s="305"/>
      <c r="E176" s="305"/>
      <c r="F176" s="305"/>
      <c r="G176" s="305"/>
    </row>
    <row r="177" spans="1:6" ht="15" thickBot="1">
      <c r="B177" s="368" t="s">
        <v>164</v>
      </c>
      <c r="C177" s="369">
        <v>2020</v>
      </c>
      <c r="D177" s="369">
        <v>2021</v>
      </c>
      <c r="E177" s="369">
        <v>2022</v>
      </c>
      <c r="F177" s="370">
        <v>2023</v>
      </c>
    </row>
    <row r="178" spans="1:6">
      <c r="B178" s="330" t="s">
        <v>436</v>
      </c>
      <c r="C178" s="383">
        <f>BS!C83/BS!B83-1</f>
        <v>0.16750148199202308</v>
      </c>
      <c r="D178" s="384">
        <f>BS!D83/BS!C83-1</f>
        <v>0.19582336792371668</v>
      </c>
      <c r="E178" s="384">
        <f>BS!E83/BS!D83-1</f>
        <v>9.5205794099722629E-2</v>
      </c>
      <c r="F178" s="385">
        <f>BS!F83/BS!E83-1</f>
        <v>0.14724599359235602</v>
      </c>
    </row>
    <row r="179" spans="1:6">
      <c r="B179" s="331" t="s">
        <v>437</v>
      </c>
      <c r="C179" s="383">
        <f>BS!C84/BS!B84-1</f>
        <v>7.9186427897562917E-2</v>
      </c>
      <c r="D179" s="384">
        <f>BS!D84/BS!C84-1</f>
        <v>5.2794955046465919E-2</v>
      </c>
      <c r="E179" s="384">
        <f>BS!E84/BS!D84-1</f>
        <v>0.12523946402325303</v>
      </c>
      <c r="F179" s="385">
        <f>BS!F84/BS!E84-1</f>
        <v>0.101119886794929</v>
      </c>
    </row>
    <row r="180" spans="1:6">
      <c r="B180" s="331" t="s">
        <v>438</v>
      </c>
      <c r="C180" s="383">
        <f>BS!C85/BS!B85-1</f>
        <v>0.30005153406619667</v>
      </c>
      <c r="D180" s="384">
        <f>BS!D85/BS!C85-1</f>
        <v>0.15794867444724003</v>
      </c>
      <c r="E180" s="384">
        <f>BS!E85/BS!D85-1</f>
        <v>-0.68902162801647204</v>
      </c>
      <c r="F180" s="385">
        <f>BS!F85/BS!E85-1</f>
        <v>0.80909202882688191</v>
      </c>
    </row>
    <row r="181" spans="1:6">
      <c r="B181" s="331" t="s">
        <v>439</v>
      </c>
      <c r="C181" s="383">
        <f>BS!C86/BS!B86-1</f>
        <v>1.383555108551926</v>
      </c>
      <c r="D181" s="384">
        <f>BS!D86/BS!C86-1</f>
        <v>0.51782997579880785</v>
      </c>
      <c r="E181" s="384">
        <f>BS!E86/BS!D86-1</f>
        <v>0.56092564902923381</v>
      </c>
      <c r="F181" s="385">
        <f>BS!F86/BS!E86-1</f>
        <v>0.20020510904287181</v>
      </c>
    </row>
    <row r="182" spans="1:6" ht="15" thickBot="1">
      <c r="B182" s="365" t="s">
        <v>169</v>
      </c>
      <c r="C182" s="374">
        <f>BS!C87/BS!B87-1</f>
        <v>0.11165124775169977</v>
      </c>
      <c r="D182" s="375">
        <f>BS!D87/BS!C87-1</f>
        <v>9.9999020747297385E-2</v>
      </c>
      <c r="E182" s="375">
        <f>BS!E87/BS!D87-1</f>
        <v>9.5254364645801282E-2</v>
      </c>
      <c r="F182" s="376">
        <f>BS!F87/BS!E87-1</f>
        <v>0.12242299949718638</v>
      </c>
    </row>
    <row r="183" spans="1:6" ht="15" thickBot="1">
      <c r="B183" s="368" t="s">
        <v>170</v>
      </c>
      <c r="C183" s="369"/>
      <c r="D183" s="369"/>
      <c r="E183" s="369"/>
      <c r="F183" s="370"/>
    </row>
    <row r="184" spans="1:6">
      <c r="B184" s="330" t="s">
        <v>171</v>
      </c>
      <c r="C184" s="383">
        <f>BS!C89/BS!B89-1</f>
        <v>0.13153152735889528</v>
      </c>
      <c r="D184" s="384">
        <f>BS!D89/BS!C89-1</f>
        <v>9.0170312544126663E-2</v>
      </c>
      <c r="E184" s="384">
        <f>BS!E89/BS!D89-1</f>
        <v>0.11923259020278021</v>
      </c>
      <c r="F184" s="385">
        <f>BS!F89/BS!E89-1</f>
        <v>0.10004408370742457</v>
      </c>
    </row>
    <row r="185" spans="1:6">
      <c r="B185" s="331" t="s">
        <v>60</v>
      </c>
      <c r="C185" s="383">
        <f>BS!C90/BS!B90-1</f>
        <v>9.1993813512074807E-2</v>
      </c>
      <c r="D185" s="384">
        <f>BS!D90/BS!C90-1</f>
        <v>0.11006943338185038</v>
      </c>
      <c r="E185" s="384">
        <f>BS!E90/BS!D90-1</f>
        <v>7.1126878637659319E-2</v>
      </c>
      <c r="F185" s="385">
        <f>BS!F90/BS!E90-1</f>
        <v>0.14595254310266492</v>
      </c>
    </row>
    <row r="186" spans="1:6" ht="15" thickBot="1">
      <c r="B186" s="366" t="s">
        <v>169</v>
      </c>
      <c r="C186" s="380">
        <f>BS!C91/BS!B91-1</f>
        <v>0.11165124775169977</v>
      </c>
      <c r="D186" s="381">
        <f>BS!D91/BS!C91-1</f>
        <v>9.9999020747297385E-2</v>
      </c>
      <c r="E186" s="381">
        <f>BS!E91/BS!D91-1</f>
        <v>9.5254364645801282E-2</v>
      </c>
      <c r="F186" s="382">
        <f>BS!F91/BS!E91-1</f>
        <v>0.12242299949718638</v>
      </c>
    </row>
    <row r="187" spans="1:6">
      <c r="B187" s="310"/>
      <c r="C187" s="309"/>
      <c r="D187" s="309"/>
      <c r="E187" s="309"/>
      <c r="F187" s="309"/>
    </row>
    <row r="188" spans="1:6" ht="15" thickBot="1">
      <c r="A188" s="320">
        <v>3.7</v>
      </c>
      <c r="B188" s="449" t="s">
        <v>440</v>
      </c>
      <c r="C188" s="305"/>
      <c r="D188" s="305"/>
      <c r="E188" s="305"/>
      <c r="F188" s="305"/>
    </row>
    <row r="189" spans="1:6" ht="15" thickBot="1">
      <c r="B189" s="368" t="s">
        <v>164</v>
      </c>
      <c r="C189" s="369">
        <v>2020</v>
      </c>
      <c r="D189" s="369">
        <v>2021</v>
      </c>
      <c r="E189" s="369">
        <v>2022</v>
      </c>
      <c r="F189" s="370">
        <v>2023</v>
      </c>
    </row>
    <row r="190" spans="1:6">
      <c r="B190" s="330" t="s">
        <v>436</v>
      </c>
      <c r="C190" s="371">
        <f>BS!C83/BS!$C$87</f>
        <v>0.29747325470434399</v>
      </c>
      <c r="D190" s="372">
        <f>BS!D83/BS!$D$87</f>
        <v>0.32338707816858958</v>
      </c>
      <c r="E190" s="372">
        <f>BS!E83/BS!$E$87</f>
        <v>0.32337273712829023</v>
      </c>
      <c r="F190" s="373">
        <f>BS!F83/BS!$F$87</f>
        <v>0.33052430079713019</v>
      </c>
    </row>
    <row r="191" spans="1:6">
      <c r="B191" s="331" t="s">
        <v>437</v>
      </c>
      <c r="C191" s="371">
        <f>BS!C84/BS!$C$87</f>
        <v>0.672023570057383</v>
      </c>
      <c r="D191" s="372">
        <f>BS!D84/BS!$D$87</f>
        <v>0.64318514006319538</v>
      </c>
      <c r="E191" s="372">
        <f>BS!E84/BS!$E$87</f>
        <v>0.66079380793564169</v>
      </c>
      <c r="F191" s="373">
        <f>BS!F84/BS!$F$87</f>
        <v>0.64825222159099904</v>
      </c>
    </row>
    <row r="192" spans="1:6">
      <c r="B192" s="331" t="s">
        <v>438</v>
      </c>
      <c r="C192" s="371">
        <f>BS!C85/BS!$C$87</f>
        <v>2.6475692088252532E-2</v>
      </c>
      <c r="D192" s="372">
        <f>BS!D85/BS!$D$87</f>
        <v>2.7870472591728101E-2</v>
      </c>
      <c r="E192" s="372">
        <f>BS!E85/BS!$E$87</f>
        <v>7.9133345392237136E-3</v>
      </c>
      <c r="F192" s="373">
        <f>BS!F85/BS!$F$87</f>
        <v>1.2754505603291456E-2</v>
      </c>
    </row>
    <row r="193" spans="1:7">
      <c r="B193" s="331" t="s">
        <v>439</v>
      </c>
      <c r="C193" s="371">
        <f>BS!C86/BS!$C$87</f>
        <v>4.0274831500204476E-3</v>
      </c>
      <c r="D193" s="372">
        <f>BS!D86/BS!$D$87</f>
        <v>5.5573091764869751E-3</v>
      </c>
      <c r="E193" s="372">
        <f>BS!E86/BS!$E$87</f>
        <v>7.9201203968443847E-3</v>
      </c>
      <c r="F193" s="373">
        <f>BS!F86/BS!$F$87</f>
        <v>8.4689720085793004E-3</v>
      </c>
    </row>
    <row r="194" spans="1:7" ht="15" thickBot="1">
      <c r="B194" s="365" t="s">
        <v>169</v>
      </c>
      <c r="C194" s="374">
        <f>SUM(C190:C193)</f>
        <v>1</v>
      </c>
      <c r="D194" s="374">
        <f t="shared" ref="D194:F194" si="3">SUM(D190:D193)</f>
        <v>1</v>
      </c>
      <c r="E194" s="374">
        <f t="shared" si="3"/>
        <v>1</v>
      </c>
      <c r="F194" s="374">
        <f t="shared" si="3"/>
        <v>1</v>
      </c>
    </row>
    <row r="195" spans="1:7" ht="15" thickBot="1">
      <c r="B195" s="368" t="s">
        <v>170</v>
      </c>
      <c r="C195" s="377"/>
      <c r="D195" s="378"/>
      <c r="E195" s="378"/>
      <c r="F195" s="379"/>
    </row>
    <row r="196" spans="1:7">
      <c r="B196" s="330" t="s">
        <v>171</v>
      </c>
      <c r="C196" s="371">
        <f>BS!C89/BS!$C$91</f>
        <v>0.50607324397277298</v>
      </c>
      <c r="D196" s="372">
        <f>BS!D89/BS!$D$91</f>
        <v>0.50155137972505648</v>
      </c>
      <c r="E196" s="372">
        <f>BS!E89/BS!$E$91</f>
        <v>0.51253176245592158</v>
      </c>
      <c r="F196" s="373">
        <f>BS!F89/BS!$F$91</f>
        <v>0.50231288315933076</v>
      </c>
    </row>
    <row r="197" spans="1:7">
      <c r="B197" s="331" t="s">
        <v>60</v>
      </c>
      <c r="C197" s="371">
        <f>BS!C90/BS!$C$91</f>
        <v>0.49392675602722697</v>
      </c>
      <c r="D197" s="372">
        <f>BS!D90/BS!$D$91</f>
        <v>0.49844862027494352</v>
      </c>
      <c r="E197" s="372">
        <f>BS!E90/BS!$E$91</f>
        <v>0.48746823754407842</v>
      </c>
      <c r="F197" s="373">
        <f>BS!F90/BS!$F$91</f>
        <v>0.4976871168406693</v>
      </c>
    </row>
    <row r="198" spans="1:7" ht="15" thickBot="1">
      <c r="B198" s="366" t="s">
        <v>169</v>
      </c>
      <c r="C198" s="380">
        <f>SUM(C196:C197)</f>
        <v>1</v>
      </c>
      <c r="D198" s="380">
        <f t="shared" ref="D198:F198" si="4">SUM(D196:D197)</f>
        <v>1</v>
      </c>
      <c r="E198" s="380">
        <f t="shared" si="4"/>
        <v>1</v>
      </c>
      <c r="F198" s="380">
        <f t="shared" si="4"/>
        <v>1</v>
      </c>
    </row>
    <row r="199" spans="1:7">
      <c r="B199" s="310"/>
      <c r="C199" s="309"/>
      <c r="D199" s="309"/>
      <c r="E199" s="309"/>
      <c r="F199" s="309"/>
    </row>
    <row r="200" spans="1:7" ht="15" thickBot="1">
      <c r="A200" s="320">
        <v>3.8</v>
      </c>
      <c r="B200" s="449" t="s">
        <v>441</v>
      </c>
      <c r="C200" s="310"/>
      <c r="D200" s="309"/>
      <c r="E200" s="309"/>
      <c r="F200" s="309"/>
      <c r="G200" s="309"/>
    </row>
    <row r="201" spans="1:7" ht="15" thickBot="1">
      <c r="B201" s="368" t="s">
        <v>194</v>
      </c>
      <c r="C201" s="369">
        <v>2019</v>
      </c>
      <c r="D201" s="369">
        <v>2020</v>
      </c>
      <c r="E201" s="369">
        <v>2021</v>
      </c>
      <c r="F201" s="369">
        <v>2022</v>
      </c>
      <c r="G201" s="433">
        <v>2023</v>
      </c>
    </row>
    <row r="202" spans="1:7">
      <c r="B202" s="436" t="s">
        <v>205</v>
      </c>
      <c r="C202" s="312"/>
      <c r="D202" s="312">
        <f>BS!C128/BS!C135</f>
        <v>-8.7724072483455082E-2</v>
      </c>
      <c r="E202" s="312">
        <f>BS!D128/BS!D135</f>
        <v>-0.11607472506637853</v>
      </c>
      <c r="F202" s="312">
        <f>BS!E128/BS!E135</f>
        <v>-4.2326796974911825E-2</v>
      </c>
      <c r="G202" s="429">
        <f>BS!F128/BS!F135</f>
        <v>-0.36683437263348073</v>
      </c>
    </row>
    <row r="203" spans="1:7">
      <c r="B203" s="437" t="s">
        <v>206</v>
      </c>
      <c r="C203" s="313"/>
      <c r="D203" s="313">
        <f>BS!C131/BS!C135</f>
        <v>-3.4531091228407473E-2</v>
      </c>
      <c r="E203" s="313">
        <f>BS!D131/BS!D135</f>
        <v>3.3460303829776654E-2</v>
      </c>
      <c r="F203" s="313">
        <f>BS!E131/BS!E135</f>
        <v>2.3198489429113997E-2</v>
      </c>
      <c r="G203" s="430">
        <f>BS!F131/BS!F135</f>
        <v>5.1278723005005349E-2</v>
      </c>
    </row>
    <row r="204" spans="1:7" ht="15" thickBot="1">
      <c r="B204" s="438" t="s">
        <v>207</v>
      </c>
      <c r="C204" s="431"/>
      <c r="D204" s="431">
        <f>BS!C134/BS!C135</f>
        <v>2.0403359420446476E-2</v>
      </c>
      <c r="E204" s="431">
        <f>BS!D134/BS!D135</f>
        <v>5.3395619263100005E-3</v>
      </c>
      <c r="F204" s="431">
        <f>BS!E134/BS!E135</f>
        <v>-1.6670181259004564E-2</v>
      </c>
      <c r="G204" s="432">
        <f>BS!F134/BS!F135</f>
        <v>7.2527882706234545E-2</v>
      </c>
    </row>
    <row r="205" spans="1:7">
      <c r="B205" s="314"/>
      <c r="C205" s="314"/>
      <c r="D205" s="314"/>
      <c r="E205" s="314"/>
      <c r="F205" s="314"/>
      <c r="G205" s="314"/>
    </row>
    <row r="206" spans="1:7" ht="15" thickBot="1">
      <c r="B206" s="310"/>
      <c r="C206" s="310"/>
      <c r="D206" s="309"/>
      <c r="E206" s="309"/>
      <c r="F206" s="309"/>
      <c r="G206" s="309"/>
    </row>
    <row r="207" spans="1:7" ht="15" thickBot="1">
      <c r="B207" s="368" t="s">
        <v>208</v>
      </c>
      <c r="C207" s="369">
        <v>2019</v>
      </c>
      <c r="D207" s="369">
        <v>2020</v>
      </c>
      <c r="E207" s="369">
        <v>2021</v>
      </c>
      <c r="F207" s="369">
        <v>2022</v>
      </c>
      <c r="G207" s="433">
        <v>2023</v>
      </c>
    </row>
    <row r="208" spans="1:7">
      <c r="B208" s="436" t="s">
        <v>221</v>
      </c>
      <c r="C208" s="312"/>
      <c r="D208" s="312">
        <f>BS!C144/BS!C154</f>
        <v>-0.26665952105484408</v>
      </c>
      <c r="E208" s="312">
        <f>BS!D144/BS!D154</f>
        <v>-0.3204437678275221</v>
      </c>
      <c r="F208" s="312">
        <f>BS!E144/BS!E154</f>
        <v>-0.21762193311667261</v>
      </c>
      <c r="G208" s="429">
        <f>BS!F144/BS!F154</f>
        <v>-0.22853908559415631</v>
      </c>
    </row>
    <row r="209" spans="1:7">
      <c r="B209" s="437" t="s">
        <v>222</v>
      </c>
      <c r="C209" s="313"/>
      <c r="D209" s="313">
        <f>BS!C147/BS!C154</f>
        <v>0.10643118859264077</v>
      </c>
      <c r="E209" s="313">
        <f>BS!D147/BS!D154</f>
        <v>0.1470070137965179</v>
      </c>
      <c r="F209" s="313">
        <f>BS!E147/BS!E154</f>
        <v>0.16377189536179257</v>
      </c>
      <c r="G209" s="430">
        <f>BS!F147/BS!F154</f>
        <v>0.15717669018267685</v>
      </c>
    </row>
    <row r="210" spans="1:7">
      <c r="B210" s="437" t="s">
        <v>223</v>
      </c>
      <c r="C210" s="313"/>
      <c r="D210" s="313">
        <f>BS!C150/BS!C154</f>
        <v>0.11758087490952743</v>
      </c>
      <c r="E210" s="313">
        <f>BS!D150/BS!D154</f>
        <v>0.13406889833064511</v>
      </c>
      <c r="F210" s="313">
        <f>BS!E150/BS!E154</f>
        <v>0.13081491925868663</v>
      </c>
      <c r="G210" s="430">
        <f>BS!F150/BS!F154</f>
        <v>0.13121383197032402</v>
      </c>
    </row>
    <row r="211" spans="1:7" ht="15" thickBot="1">
      <c r="B211" s="438" t="s">
        <v>224</v>
      </c>
      <c r="C211" s="431"/>
      <c r="D211" s="431">
        <f>BS!C153/BS!C154</f>
        <v>-4.1917998559679009E-2</v>
      </c>
      <c r="E211" s="431">
        <f>BS!D153/BS!D154</f>
        <v>-5.5352313009394589E-2</v>
      </c>
      <c r="F211" s="431">
        <f>BS!E153/BS!E154</f>
        <v>-7.7172157715884454E-2</v>
      </c>
      <c r="G211" s="432">
        <f>BS!F153/BS!F154</f>
        <v>-6.0711818503421604E-2</v>
      </c>
    </row>
    <row r="212" spans="1:7" ht="15.75">
      <c r="B212" s="4"/>
      <c r="C212" s="311"/>
      <c r="D212" s="311"/>
      <c r="E212" s="311"/>
      <c r="F212" s="311"/>
      <c r="G212" s="311"/>
    </row>
    <row r="213" spans="1:7" ht="18">
      <c r="A213" s="323">
        <v>4</v>
      </c>
      <c r="B213" s="324" t="s">
        <v>442</v>
      </c>
      <c r="C213" s="325"/>
      <c r="D213" s="325"/>
      <c r="E213" s="325"/>
      <c r="F213" s="325"/>
      <c r="G213" s="325"/>
    </row>
    <row r="214" spans="1:7" ht="15" thickBot="1"/>
    <row r="215" spans="1:7" ht="15" thickBot="1">
      <c r="B215" s="368" t="s">
        <v>443</v>
      </c>
      <c r="C215" s="369">
        <v>2020</v>
      </c>
      <c r="D215" s="369">
        <v>2021</v>
      </c>
      <c r="E215" s="369">
        <v>2022</v>
      </c>
      <c r="F215" s="433">
        <v>2023</v>
      </c>
    </row>
    <row r="216" spans="1:7">
      <c r="B216" s="444" t="s">
        <v>268</v>
      </c>
      <c r="C216" s="439">
        <f>IS!C2/IS!B2-1</f>
        <v>4.9400113079805186E-2</v>
      </c>
      <c r="D216" s="439">
        <f>IS!D2/IS!C2-1</f>
        <v>0.16850108755638438</v>
      </c>
      <c r="E216" s="439">
        <f>IS!E2/IS!D2-1</f>
        <v>0.25582450426380032</v>
      </c>
      <c r="F216" s="439">
        <f>IS!F2/IS!E2-1</f>
        <v>7.0312819563389528E-3</v>
      </c>
    </row>
    <row r="217" spans="1:7">
      <c r="B217" s="446" t="s">
        <v>269</v>
      </c>
      <c r="C217" s="439">
        <f>IS!C3/IS!B3-1</f>
        <v>2.1867282576579994E-2</v>
      </c>
      <c r="D217" s="439">
        <f>IS!D3/IS!C3-1</f>
        <v>2.2308576123846624E-2</v>
      </c>
      <c r="E217" s="439">
        <f>IS!E3/IS!D3-1</f>
        <v>0.24542675527776359</v>
      </c>
      <c r="F217" s="439">
        <f>IS!F3/IS!E3-1</f>
        <v>0.22709073720360395</v>
      </c>
    </row>
    <row r="218" spans="1:7">
      <c r="B218" s="446" t="s">
        <v>270</v>
      </c>
      <c r="C218" s="439">
        <f>IS!C4/IS!B4-1</f>
        <v>-6.8537755031852221E-3</v>
      </c>
      <c r="D218" s="439">
        <f>IS!D4/IS!C4-1</f>
        <v>-0.1388311464587163</v>
      </c>
      <c r="E218" s="439">
        <f>IS!E4/IS!D4-1</f>
        <v>0.22987578037407164</v>
      </c>
      <c r="F218" s="439">
        <f>IS!F4/IS!E4-1</f>
        <v>0.56315786092338893</v>
      </c>
    </row>
    <row r="219" spans="1:7">
      <c r="B219" s="443" t="s">
        <v>271</v>
      </c>
      <c r="C219" s="439">
        <f>IS!C5/IS!B5-1</f>
        <v>0.53414356312882472</v>
      </c>
      <c r="D219" s="439">
        <f>IS!D5/IS!C5-1</f>
        <v>0.12104096110418183</v>
      </c>
      <c r="E219" s="439">
        <f>IS!E5/IS!D5-1</f>
        <v>-7.6679816710325421E-2</v>
      </c>
      <c r="F219" s="439">
        <f>IS!F5/IS!E5-1</f>
        <v>-0.15490005994940859</v>
      </c>
    </row>
    <row r="220" spans="1:7">
      <c r="B220" s="446" t="s">
        <v>272</v>
      </c>
      <c r="C220" s="439">
        <f>IS!C6/IS!B6-1</f>
        <v>0.17613493663487301</v>
      </c>
      <c r="D220" s="439">
        <f>IS!D6/IS!C6-1</f>
        <v>6.595601144410046E-2</v>
      </c>
      <c r="E220" s="439">
        <f>IS!E6/IS!D6-1</f>
        <v>0.10087178363987603</v>
      </c>
      <c r="F220" s="439">
        <f>IS!F6/IS!E6-1</f>
        <v>1.6718863820358365E-2</v>
      </c>
    </row>
    <row r="221" spans="1:7">
      <c r="B221" s="446" t="s">
        <v>444</v>
      </c>
      <c r="C221" s="439">
        <f>IS!C7/IS!B7-1</f>
        <v>-0.15222919532342927</v>
      </c>
      <c r="D221" s="439">
        <f>IS!D7/IS!C7-1</f>
        <v>-2.5472726149165292E-2</v>
      </c>
      <c r="E221" s="439">
        <f>IS!E7/IS!D7-1</f>
        <v>0.43987345606057371</v>
      </c>
      <c r="F221" s="439">
        <f>IS!F7/IS!E7-1</f>
        <v>0.22684033228623401</v>
      </c>
    </row>
    <row r="222" spans="1:7">
      <c r="B222" s="443" t="s">
        <v>445</v>
      </c>
      <c r="C222" s="439">
        <f>IS!C8/IS!B8-1</f>
        <v>0.15632982996642664</v>
      </c>
      <c r="D222" s="439">
        <f>IS!D8/IS!C8-1</f>
        <v>0.11991120210710693</v>
      </c>
      <c r="E222" s="439">
        <f>IS!E8/IS!D8-1</f>
        <v>0.3185559634453532</v>
      </c>
      <c r="F222" s="439">
        <f>IS!F8/IS!E8-1</f>
        <v>-1.879483985718855E-2</v>
      </c>
    </row>
    <row r="223" spans="1:7">
      <c r="B223" s="443" t="s">
        <v>275</v>
      </c>
      <c r="C223" s="439">
        <f>IS!C9/IS!B9-1</f>
        <v>-0.98760121110821886</v>
      </c>
      <c r="D223" s="439">
        <f>IS!D9/IS!C9-1</f>
        <v>56.521546961325967</v>
      </c>
      <c r="E223" s="439">
        <f>IS!E9/IS!D9-1</f>
        <v>-2.1064218068655514</v>
      </c>
      <c r="F223" s="439">
        <f>IS!F9/IS!E9-1</f>
        <v>-2.0783287323992568</v>
      </c>
    </row>
    <row r="224" spans="1:7">
      <c r="B224" s="443" t="s">
        <v>276</v>
      </c>
      <c r="C224" s="439">
        <f>IS!C10/IS!B10-1</f>
        <v>-1.0139204545454545</v>
      </c>
      <c r="D224" s="439">
        <f>IS!D10/IS!C10-1</f>
        <v>867.63265306122446</v>
      </c>
      <c r="E224" s="439">
        <f>IS!E10/IS!D10-1</f>
        <v>-1.9585203110682987</v>
      </c>
      <c r="F224" s="439">
        <f>IS!F10/IS!E10-1</f>
        <v>-1</v>
      </c>
    </row>
    <row r="225" spans="2:7">
      <c r="B225" s="443" t="s">
        <v>277</v>
      </c>
      <c r="C225" s="439">
        <f>IS!C11/IS!B11-1</f>
        <v>-0.41355921160859277</v>
      </c>
      <c r="D225" s="439">
        <f>IS!D11/IS!C11-1</f>
        <v>0.32940258952491686</v>
      </c>
      <c r="E225" s="439">
        <f>IS!E11/IS!D11-1</f>
        <v>-0.14177308701391111</v>
      </c>
      <c r="F225" s="439">
        <f>IS!F11/IS!E11-1</f>
        <v>0.10623765495060522</v>
      </c>
    </row>
    <row r="226" spans="2:7">
      <c r="B226" s="447" t="s">
        <v>73</v>
      </c>
      <c r="C226" s="439">
        <f>IS!C12/IS!B12-1</f>
        <v>-0.25761713536371367</v>
      </c>
      <c r="D226" s="439">
        <f>IS!D12/IS!C12-1</f>
        <v>0.21835695484836415</v>
      </c>
      <c r="E226" s="439">
        <f>IS!E12/IS!D12-1</f>
        <v>-5.5487248296171132E-2</v>
      </c>
      <c r="F226" s="439">
        <f>IS!F12/IS!E12-1</f>
        <v>0.38308576978280184</v>
      </c>
    </row>
    <row r="227" spans="2:7">
      <c r="B227" s="447" t="s">
        <v>278</v>
      </c>
      <c r="C227" s="439">
        <f>IS!C13/IS!B13-1</f>
        <v>1.0796742743805345</v>
      </c>
      <c r="D227" s="439">
        <f>IS!D13/IS!C13-1</f>
        <v>-5.0173212565869818E-2</v>
      </c>
      <c r="E227" s="439">
        <f>IS!E13/IS!D13-1</f>
        <v>0.23655334608949974</v>
      </c>
      <c r="F227" s="439">
        <f>IS!F13/IS!E13-1</f>
        <v>1.0334168974974212</v>
      </c>
    </row>
    <row r="228" spans="2:7">
      <c r="B228" s="443" t="s">
        <v>279</v>
      </c>
      <c r="C228" s="439">
        <f>IS!C14/IS!B14-1</f>
        <v>0.8824664621209648</v>
      </c>
      <c r="D228" s="439">
        <f>IS!D14/IS!C14-1</f>
        <v>-0.71865145160765953</v>
      </c>
      <c r="E228" s="439">
        <f>IS!E14/IS!D14-1</f>
        <v>0.60570063939604046</v>
      </c>
      <c r="F228" s="439">
        <f>IS!F14/IS!E14-1</f>
        <v>0.27835882477115281</v>
      </c>
    </row>
    <row r="229" spans="2:7">
      <c r="B229" s="448" t="s">
        <v>78</v>
      </c>
      <c r="C229" s="439">
        <f>IS!C16/IS!B16-1</f>
        <v>1.3951253589757018E-2</v>
      </c>
      <c r="D229" s="439">
        <f>IS!D16/IS!C16-1</f>
        <v>9.5767181581531746E-2</v>
      </c>
      <c r="E229" s="439">
        <f>IS!E16/IS!D16-1</f>
        <v>0.20918883990543402</v>
      </c>
      <c r="F229" s="439">
        <f>IS!F16/IS!E16-1</f>
        <v>3.1264517297277417E-2</v>
      </c>
    </row>
    <row r="230" spans="2:7">
      <c r="B230" s="443" t="s">
        <v>281</v>
      </c>
      <c r="C230" s="439">
        <f>IS!C17/IS!B17-1</f>
        <v>0.10401849294914034</v>
      </c>
      <c r="D230" s="439">
        <f>IS!D17/IS!C17-1</f>
        <v>0.18547226343178713</v>
      </c>
      <c r="E230" s="439">
        <f>IS!E17/IS!D17-1</f>
        <v>0.19624647449725963</v>
      </c>
      <c r="F230" s="439">
        <f>IS!F17/IS!E17-1</f>
        <v>-2.1859823311295656E-2</v>
      </c>
    </row>
    <row r="231" spans="2:7">
      <c r="B231" s="448" t="s">
        <v>282</v>
      </c>
      <c r="C231" s="439">
        <f>IS!C18/IS!B18-1</f>
        <v>0.46893959129828167</v>
      </c>
      <c r="D231" s="439">
        <f>IS!D18/IS!C18-1</f>
        <v>0.1790595835676756</v>
      </c>
      <c r="E231" s="439">
        <f>IS!E18/IS!D18-1</f>
        <v>-0.19527436949235011</v>
      </c>
      <c r="F231" s="439">
        <f>IS!F18/IS!E18-1</f>
        <v>-0.51767002831084408</v>
      </c>
    </row>
    <row r="232" spans="2:7">
      <c r="B232" s="443" t="s">
        <v>283</v>
      </c>
      <c r="C232" s="439">
        <f>IS!C19/IS!B19-1</f>
        <v>-3.1491571995387879E-3</v>
      </c>
      <c r="D232" s="439">
        <f>IS!D19/IS!C19-1</f>
        <v>0.18824735967856387</v>
      </c>
      <c r="E232" s="439">
        <f>IS!E19/IS!D19-1</f>
        <v>0.36436759408483388</v>
      </c>
      <c r="F232" s="439">
        <f>IS!F19/IS!E19-1</f>
        <v>0.10371404843774323</v>
      </c>
    </row>
    <row r="233" spans="2:7">
      <c r="B233" s="448" t="s">
        <v>284</v>
      </c>
      <c r="C233" s="434">
        <f>IS!C20/IS!B20-1</f>
        <v>-4.2089562045336537E-3</v>
      </c>
      <c r="D233" s="434">
        <f>IS!D20/IS!C20-1</f>
        <v>0.19062350954535501</v>
      </c>
      <c r="E233" s="434">
        <f>IS!E20/IS!D20-1</f>
        <v>0.36691240628787591</v>
      </c>
      <c r="F233" s="435">
        <f>IS!F20/IS!E20-1</f>
        <v>9.9368817741138926E-2</v>
      </c>
    </row>
    <row r="234" spans="2:7" ht="15" thickBot="1">
      <c r="B234" s="445" t="s">
        <v>287</v>
      </c>
      <c r="C234" s="441">
        <f>IS!C23/IS!B23-1</f>
        <v>-2.8862158390688952E-3</v>
      </c>
      <c r="D234" s="441">
        <f>IS!D23/IS!C23-1</f>
        <v>0.18765860723481231</v>
      </c>
      <c r="E234" s="441">
        <f>IS!E23/IS!D23-1</f>
        <v>0.36373547709118603</v>
      </c>
      <c r="F234" s="442">
        <f>IS!F23/IS!E23-1</f>
        <v>0.10479589361348118</v>
      </c>
    </row>
    <row r="235" spans="2:7" ht="16.5" thickBot="1">
      <c r="B235" s="4"/>
      <c r="C235" s="4"/>
      <c r="D235" s="4"/>
      <c r="E235" s="4"/>
      <c r="F235" s="4"/>
      <c r="G235" s="4"/>
    </row>
    <row r="236" spans="2:7" ht="15" thickBot="1">
      <c r="B236" s="368" t="s">
        <v>446</v>
      </c>
      <c r="C236" s="369">
        <v>2020</v>
      </c>
      <c r="D236" s="369">
        <v>2021</v>
      </c>
      <c r="E236" s="369">
        <v>2022</v>
      </c>
      <c r="F236" s="433">
        <v>2023</v>
      </c>
    </row>
    <row r="237" spans="2:7">
      <c r="B237" s="444" t="s">
        <v>268</v>
      </c>
      <c r="C237" s="439">
        <f>IS!C2/(IS!C2+IS!C5+IS!C8+IS!C9+IS!C10+IS!C11+IS!C14)</f>
        <v>0.73957594246902136</v>
      </c>
      <c r="D237" s="439">
        <f>IS!D2/(IS!D2+IS!D5+IS!D8+IS!D9+IS!D10+IS!D11+IS!D14)</f>
        <v>0.74747794871652029</v>
      </c>
      <c r="E237" s="439">
        <f>IS!E2/(IS!E2+IS!E5+IS!E8+IS!E9+IS!E10+IS!E11+IS!E14)</f>
        <v>0.78208389749302543</v>
      </c>
      <c r="F237" s="440">
        <f>IS!F2/(IS!F2+IS!F5+IS!F8+IS!F9+IS!F10+IS!F11+IS!F14)</f>
        <v>0.79176207796346854</v>
      </c>
    </row>
    <row r="238" spans="2:7">
      <c r="B238" s="446" t="s">
        <v>269</v>
      </c>
      <c r="C238" s="434">
        <f>IS!C3/(IS!C3+IS!C6+IS!C8+IS!C9+IS!C10+IS!C11+IS!C12+IS!C14)</f>
        <v>0.78191035452710589</v>
      </c>
      <c r="D238" s="434">
        <f>IS!D3/(IS!D3+IS!D6+IS!D8+IS!D9+IS!D10+IS!D11+IS!D12+IS!D14)</f>
        <v>0.76857007459645399</v>
      </c>
      <c r="E238" s="434">
        <f>IS!E3/(IS!E3+IS!E6+IS!E8+IS!E9+IS!E10+IS!E11+IS!E12+IS!E14)</f>
        <v>0.79050870282501717</v>
      </c>
      <c r="F238" s="435">
        <f>IS!F3/(IS!F3+IS!F6+IS!F8+IS!F9+IS!F10+IS!F11+IS!F12+IS!F14)</f>
        <v>0.81216763432788996</v>
      </c>
    </row>
    <row r="239" spans="2:7">
      <c r="B239" s="446" t="s">
        <v>447</v>
      </c>
      <c r="C239" s="434">
        <f>IS!C4/IS!C3</f>
        <v>-0.47568232437784169</v>
      </c>
      <c r="D239" s="434">
        <f>IS!D4/IS!D3</f>
        <v>-0.40070367353026409</v>
      </c>
      <c r="E239" s="434">
        <f>IS!E4/IS!E3</f>
        <v>-0.39570030199959827</v>
      </c>
      <c r="F239" s="435">
        <f>IS!F4/IS!F3</f>
        <v>-0.50407196378159924</v>
      </c>
    </row>
    <row r="240" spans="2:7">
      <c r="B240" s="443" t="s">
        <v>271</v>
      </c>
      <c r="C240" s="439">
        <f>IS!C5/(IS!C2+IS!C5+IS!C8+IS!C9+IS!C10+IS!C11+IS!C14)</f>
        <v>0.13467131675874677</v>
      </c>
      <c r="D240" s="439">
        <f>IS!D5/(IS!D2+IS!D5+IS!D8+IS!D9+IS!D10+IS!D11+IS!D14)</f>
        <v>0.13058192794603599</v>
      </c>
      <c r="E240" s="439">
        <f>IS!E5/(IS!E2+IS!E5+IS!E8+IS!E9+IS!E10+IS!E11+IS!E14)</f>
        <v>0.10045265310025858</v>
      </c>
      <c r="F240" s="440">
        <f>IS!F5/(IS!F2+IS!F5+IS!F8+IS!F9+IS!F10+IS!F11+IS!F14)</f>
        <v>8.5342993835725647E-2</v>
      </c>
    </row>
    <row r="241" spans="2:6">
      <c r="B241" s="446" t="s">
        <v>272</v>
      </c>
      <c r="C241" s="434">
        <f>IS!C6/(IS!C3+IS!C6+IS!C8+IS!C9+IS!C10+IS!C11+IS!C12+IS!C14)</f>
        <v>0.1196297703161847</v>
      </c>
      <c r="D241" s="434">
        <f>IS!D6/(IS!D3+IS!D6+IS!D8+IS!D9+IS!D10+IS!D11+IS!D12+IS!D14)</f>
        <v>0.1226091987001325</v>
      </c>
      <c r="E241" s="434">
        <f>IS!E6/(IS!E3+IS!E6+IS!E8+IS!E9+IS!E10+IS!E11+IS!E12+IS!E14)</f>
        <v>0.11147174205491102</v>
      </c>
      <c r="F241" s="435">
        <f>IS!F6/(IS!F3+IS!F6+IS!F8+IS!F9+IS!F10+IS!F11+IS!F12+IS!F14)</f>
        <v>9.4891653584210228E-2</v>
      </c>
    </row>
    <row r="242" spans="2:6">
      <c r="B242" s="446" t="s">
        <v>448</v>
      </c>
      <c r="C242" s="434">
        <f>IS!C7/IS!C6</f>
        <v>-0.37597135593775804</v>
      </c>
      <c r="D242" s="434">
        <f>IS!D7/IS!D6</f>
        <v>-0.3437236964888013</v>
      </c>
      <c r="E242" s="434">
        <f>IS!E7/IS!E6</f>
        <v>-0.44956972660055644</v>
      </c>
      <c r="F242" s="435">
        <f>IS!F7/IS!F6</f>
        <v>-0.54248061327001218</v>
      </c>
    </row>
    <row r="243" spans="2:6">
      <c r="B243" s="443" t="s">
        <v>445</v>
      </c>
      <c r="C243" s="439">
        <f>IS!C8/(IS!C2+IS!C5+IS!C8+IS!C9+IS!C10+IS!C11+IS!C14)</f>
        <v>7.9620804800958025E-2</v>
      </c>
      <c r="D243" s="439">
        <f>IS!D8/(IS!D2+IS!D5+IS!D8+IS!D9+IS!D10+IS!D11+IS!D14)</f>
        <v>7.7125259872135338E-2</v>
      </c>
      <c r="E243" s="439">
        <f>IS!E8/(IS!E2+IS!E5+IS!E8+IS!E9+IS!E10+IS!E11+IS!E14)</f>
        <v>8.4726879927610521E-2</v>
      </c>
      <c r="F243" s="440">
        <f>IS!F8/(IS!F2+IS!F5+IS!F8+IS!F9+IS!F10+IS!F11+IS!F14)</f>
        <v>8.3575585666308669E-2</v>
      </c>
    </row>
    <row r="244" spans="2:6">
      <c r="B244" s="443" t="s">
        <v>275</v>
      </c>
      <c r="C244" s="439">
        <f>IS!C9/(IS!C2+IS!C5+IS!C8+IS!C9+IS!C10+IS!C11+IS!C14)</f>
        <v>3.6891688915989898E-5</v>
      </c>
      <c r="D244" s="439">
        <f>IS!D9/(IS!D2+IS!D5+IS!D8+IS!D9+IS!D10+IS!D11+IS!D14)</f>
        <v>1.8354627862009177E-3</v>
      </c>
      <c r="E244" s="439">
        <f>IS!E9/(IS!E2+IS!E5+IS!E8+IS!E9+IS!E10+IS!E11+IS!E14)</f>
        <v>-1.6919686685720617E-3</v>
      </c>
      <c r="F244" s="440">
        <f>IS!F9/(IS!F2+IS!F5+IS!F8+IS!F9+IS!F10+IS!F11+IS!F14)</f>
        <v>1.8341797116042296E-3</v>
      </c>
    </row>
    <row r="245" spans="2:6">
      <c r="B245" s="443" t="s">
        <v>276</v>
      </c>
      <c r="C245" s="439">
        <f>IS!C10/(IS!C2+IS!C5+IS!C8+IS!C9+IS!C10+IS!C11+IS!C14)</f>
        <v>-1.9974505600922708E-6</v>
      </c>
      <c r="D245" s="439">
        <f>IS!D10/(IS!D2+IS!D5+IS!D8+IS!D9+IS!D10+IS!D11+IS!D14)</f>
        <v>-1.5007165716247508E-3</v>
      </c>
      <c r="E245" s="439">
        <f>IS!E10/(IS!E2+IS!E5+IS!E8+IS!E9+IS!E10+IS!E11+IS!E14)</f>
        <v>1.1984667909104413E-3</v>
      </c>
      <c r="F245" s="440">
        <f>IS!F10/(IS!F2+IS!F5+IS!F8+IS!F9+IS!F10+IS!F11+IS!F14)</f>
        <v>0</v>
      </c>
    </row>
    <row r="246" spans="2:6">
      <c r="B246" s="443" t="s">
        <v>277</v>
      </c>
      <c r="C246" s="439">
        <f>IS!C11/(IS!C2+IS!C5+IS!C8+IS!C9+IS!C10+IS!C11+IS!C14)</f>
        <v>3.6693024113855006E-2</v>
      </c>
      <c r="D246" s="439">
        <f>IS!D11/(IS!D2+IS!D5+IS!D8+IS!D9+IS!D10+IS!D11+IS!D14)</f>
        <v>4.2191650528900955E-2</v>
      </c>
      <c r="E246" s="439">
        <f>IS!E11/(IS!E2+IS!E5+IS!E8+IS!E9+IS!E10+IS!E11+IS!E14)</f>
        <v>3.0168564842517322E-2</v>
      </c>
      <c r="F246" s="440">
        <f>IS!F11/(IS!F2+IS!F5+IS!F8+IS!F9+IS!F10+IS!F11+IS!F14)</f>
        <v>3.3550691782413607E-2</v>
      </c>
    </row>
    <row r="247" spans="2:6">
      <c r="B247" s="447" t="s">
        <v>73</v>
      </c>
      <c r="C247" s="434">
        <f>IS!C12/(IS!C3+IS!C6+IS!C8+IS!C9+IS!C10+IS!C11+IS!C12+IS!C14)</f>
        <v>2.8751309489698982E-2</v>
      </c>
      <c r="D247" s="434">
        <f>IS!D12/(IS!D3+IS!D6+IS!D8+IS!D9+IS!D10+IS!D11+IS!D12+IS!D14)</f>
        <v>3.3680356398194965E-2</v>
      </c>
      <c r="E247" s="434">
        <f>IS!E12/(IS!E3+IS!E6+IS!E8+IS!E9+IS!E10+IS!E11+IS!E12+IS!E14)</f>
        <v>2.6271779940030299E-2</v>
      </c>
      <c r="F247" s="435">
        <f>IS!F12/(IS!F3+IS!F6+IS!F8+IS!F9+IS!F10+IS!F11+IS!F12+IS!F14)</f>
        <v>3.0422924229984293E-2</v>
      </c>
    </row>
    <row r="248" spans="2:6">
      <c r="B248" s="447" t="s">
        <v>449</v>
      </c>
      <c r="C248" s="434">
        <f>IS!C13/IS!C12</f>
        <v>-0.29255193314454986</v>
      </c>
      <c r="D248" s="434">
        <f>IS!D13/IS!D12</f>
        <v>-0.22807245586817057</v>
      </c>
      <c r="E248" s="434">
        <f>IS!E13/IS!E12</f>
        <v>-0.29859179555372517</v>
      </c>
      <c r="F248" s="435">
        <f>IS!F13/IS!F12</f>
        <v>-0.43899056428610933</v>
      </c>
    </row>
    <row r="249" spans="2:6">
      <c r="B249" s="443" t="s">
        <v>279</v>
      </c>
      <c r="C249" s="439">
        <f>IS!C14/(IS!C2+IS!C5+IS!C8+IS!C9+IS!C10+IS!C11+IS!C14)</f>
        <v>9.4040176190629838E-3</v>
      </c>
      <c r="D249" s="439">
        <f>IS!D14/(IS!D2+IS!D5+IS!D8+IS!D9+IS!D10+IS!D11+IS!D14)</f>
        <v>2.2884667218312726E-3</v>
      </c>
      <c r="E249" s="439">
        <f>IS!E14/(IS!E2+IS!E5+IS!E8+IS!E9+IS!E10+IS!E11+IS!E14)</f>
        <v>3.0615065142497546E-3</v>
      </c>
      <c r="F249" s="440">
        <f>IS!F14/(IS!F2+IS!F5+IS!F8+IS!F9+IS!F10+IS!F11+IS!F14)</f>
        <v>3.9344710404792954E-3</v>
      </c>
    </row>
    <row r="250" spans="2:6">
      <c r="B250" s="448" t="s">
        <v>450</v>
      </c>
      <c r="C250" s="434">
        <f>IS!C16/(IS!C3+IS!C6+IS!C8+IS!C9+IS!C10+IS!C11+IS!C12+IS!C14)</f>
        <v>-0.18120727493272906</v>
      </c>
      <c r="D250" s="434">
        <f>IS!D16/(IS!D3+IS!D6+IS!D8+IS!D9+IS!D10+IS!D11+IS!D12+IS!D14)</f>
        <v>-0.19091428289168103</v>
      </c>
      <c r="E250" s="434">
        <f>IS!E16/(IS!E3+IS!E6+IS!E8+IS!E9+IS!E10+IS!E11+IS!E12+IS!E14)</f>
        <v>-0.1906503225470047</v>
      </c>
      <c r="F250" s="435">
        <f>IS!F16/(IS!F3+IS!F6+IS!F8+IS!F9+IS!F10+IS!F11+IS!F12+IS!F14)</f>
        <v>-0.16461521165290877</v>
      </c>
    </row>
    <row r="251" spans="2:6">
      <c r="B251" s="443" t="s">
        <v>281</v>
      </c>
      <c r="C251" s="439">
        <f>IS!C17/(IS!C3+IS!C6+IS!C8+IS!C9+IS!C10+IS!C11+IS!C12+IS!C14)</f>
        <v>0.37312311372471746</v>
      </c>
      <c r="D251" s="439">
        <f>IS!D17/(IS!D3+IS!D6+IS!D8+IS!D9+IS!D10+IS!D11+IS!D12+IS!D14)</f>
        <v>0.42529282145315633</v>
      </c>
      <c r="E251" s="439">
        <f>IS!E17/(IS!E3+IS!E6+IS!E8+IS!E9+IS!E10+IS!E11+IS!E12+IS!E14)</f>
        <v>0.42015904447248098</v>
      </c>
      <c r="F251" s="440">
        <f>IS!F17/(IS!F3+IS!F6+IS!F8+IS!F9+IS!F10+IS!F11+IS!F12+IS!F14)</f>
        <v>0.34409404733102378</v>
      </c>
    </row>
    <row r="252" spans="2:6">
      <c r="B252" s="448" t="s">
        <v>282</v>
      </c>
      <c r="C252" s="434">
        <f>IS!C18/IS!C17</f>
        <v>-0.30204221492597677</v>
      </c>
      <c r="D252" s="434">
        <f>IS!D18/IS!D17</f>
        <v>-0.3004083512840216</v>
      </c>
      <c r="E252" s="434">
        <f>IS!E18/IS!E17</f>
        <v>-0.20208736665108695</v>
      </c>
      <c r="F252" s="435">
        <f>IS!F18/IS!F17</f>
        <v>-9.9651150375531322E-2</v>
      </c>
    </row>
    <row r="253" spans="2:6" ht="15" thickBot="1">
      <c r="B253" s="445" t="s">
        <v>287</v>
      </c>
      <c r="C253" s="441">
        <f>IS!C23/(IS!C3+IS!C6+IS!C8+IS!C9+IS!C10+IS!C11+IS!C12+IS!C14)</f>
        <v>0.20871071643887495</v>
      </c>
      <c r="D253" s="441">
        <f>IS!D23/(IS!D3+IS!D6+IS!D8+IS!D9+IS!D10+IS!D11+IS!D12+IS!D14)</f>
        <v>0.23833118454766275</v>
      </c>
      <c r="E253" s="441">
        <f>IS!E23/(IS!E3+IS!E6+IS!E8+IS!E9+IS!E10+IS!E11+IS!E12+IS!E14)</f>
        <v>0.26842069948249958</v>
      </c>
      <c r="F253" s="442">
        <f>IS!F23/(IS!F3+IS!F6+IS!F8+IS!F9+IS!F10+IS!F11+IS!F12+IS!F14)</f>
        <v>0.2482906699040715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BS</vt:lpstr>
      <vt:lpstr>CAR</vt:lpstr>
      <vt:lpstr>IS</vt:lpstr>
      <vt:lpstr>CF</vt:lpstr>
      <vt:lpstr>KEY 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nguyenhoangvinhloc</dc:creator>
  <cp:keywords/>
  <dc:description/>
  <cp:lastModifiedBy>Windows User</cp:lastModifiedBy>
  <cp:revision/>
  <dcterms:created xsi:type="dcterms:W3CDTF">2020-04-30T09:26:00Z</dcterms:created>
  <dcterms:modified xsi:type="dcterms:W3CDTF">2026-06-19T15:46:58Z</dcterms:modified>
  <cp:category/>
  <cp:contentStatus/>
</cp:coreProperties>
</file>