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f815256cb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N100_Valuations" sheetId="1" r:id="R97495ec891854995"/>
    <x:sheet xmlns:r="http://schemas.openxmlformats.org/officeDocument/2006/relationships" name="Data_Quality" sheetId="2" r:id="R63900021be0c4e12"/>
    <x:sheet xmlns:r="http://schemas.openxmlformats.org/officeDocument/2006/relationships" name="Flag_Summary" sheetId="3" r:id="R522a6bdd96b74c4b"/>
    <x:sheet xmlns:r="http://schemas.openxmlformats.org/officeDocument/2006/relationships" name="Sources_Assumptions" sheetId="4" r:id="R8b00786f6e8046da"/>
    <x:sheet xmlns:r="http://schemas.openxmlformats.org/officeDocument/2006/relationships" name="Checks" sheetId="5" r:id="Rddeaca005af3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"/>
    <x:numFmt numFmtId="166" formatCode="0.0&quot;%&quot;"/>
  </x:numFmts>
  <x:fonts count="6">
    <x:font>
      <x:sz val="11"/>
      <x:color theme="1"/>
      <x:name val="Calibri"/>
    </x:font>
    <x:font>
      <x:b/>
    </x:font>
    <x:font>
      <x:b/>
      <x:color rgb="FFFFFFFF"/>
    </x:font>
    <x:font>
      <x:b/>
      <x:sz val="15"/>
      <x:color rgb="FFFFFFFF"/>
      <x:name val="Calibri"/>
    </x:font>
    <x:font>
      <x:i/>
      <x:sz val="11"/>
      <x:color rgb="FF1F1F1F"/>
      <x:name val="Calibr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203864"/>
      </x:patternFill>
    </x:fill>
  </x:fills>
  <x:borders count="7">
    <x:border/>
    <x:border>
      <x:left style="thin"/>
      <x:right style="thin"/>
      <x:top style="thin"/>
      <x:bottom style="thin"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203864"/>
      </x:left>
      <x:top style="medium">
        <x:color rgb="FF203864"/>
      </x:top>
      <x:bottom style="medium">
        <x:color rgb="FF203864"/>
      </x:bottom>
    </x:border>
    <x:border>
      <x:top style="medium">
        <x:color rgb="FF203864"/>
      </x:top>
      <x:bottom style="medium">
        <x:color rgb="FF203864"/>
      </x:bottom>
    </x:border>
    <x:border>
      <x:right style="medium">
        <x:color rgb="FF203864"/>
      </x:right>
      <x:top style="medium">
        <x:color rgb="FF203864"/>
      </x:top>
      <x:bottom style="medium">
        <x:color rgb="FF20386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2" fillId="2" borderId="1" xfId="0" applyAlignment="1">
      <x:alignment horizontal="center" vertical="center"/>
    </x:xf>
    <x:xf numFmtId="3" fontId="0" fillId="0" borderId="0" xfId="0"/>
    <x:xf numFmtId="166" fontId="0" fillId="0" borderId="0" xfId="0"/>
    <x:xf numFmtId="0" fontId="0" fillId="3" borderId="0" xfId="0"/>
    <x:xf numFmtId="0" fontId="0" fillId="4" borderId="0" xfId="0"/>
    <x:xf numFmtId="0" fontId="0" fillId="5" borderId="0" xfId="0"/>
    <x:xf numFmtId="165" fontId="0" fillId="0" borderId="0" xfId="0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2" xfId="0" applyNumberFormat="1" applyFont="1" applyFill="1" applyBorder="1" applyAlignment="1">
      <x:alignment horizont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4" xfId="0" applyNumberFormat="1" applyFont="1" applyFill="1" applyBorder="1"/>
    <x:xf numFmtId="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d7d80e91145f4" /><Relationship Type="http://schemas.openxmlformats.org/officeDocument/2006/relationships/theme" Target="/xl/theme/theme1.xml" Id="R5a2fa16a971140b0" /><Relationship Type="http://schemas.openxmlformats.org/officeDocument/2006/relationships/sharedStrings" Target="/xl/sharedStrings.xml" Id="R5dec10050b2348a5" /><Relationship Type="http://schemas.openxmlformats.org/officeDocument/2006/relationships/worksheet" Target="/xl/worksheets/sheet1.xml" Id="R97495ec891854995" /><Relationship Type="http://schemas.openxmlformats.org/officeDocument/2006/relationships/worksheet" Target="/xl/worksheets/sheet2.xml" Id="R63900021be0c4e12" /><Relationship Type="http://schemas.openxmlformats.org/officeDocument/2006/relationships/worksheet" Target="/xl/worksheets/sheet3.xml" Id="R522a6bdd96b74c4b" /><Relationship Type="http://schemas.openxmlformats.org/officeDocument/2006/relationships/worksheet" Target="/xl/worksheets/sheet4.xml" Id="R8b00786f6e8046da" /><Relationship Type="http://schemas.openxmlformats.org/officeDocument/2006/relationships/worksheet" Target="/xl/worksheets/sheet5.xml" Id="Rddeaca005af340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25" customWidth="1"/>
    <x:col min="4" max="4" width="10" customWidth="1"/>
    <x:col min="5" max="5" width="10" customWidth="1"/>
    <x:col min="6" max="6" width="10" customWidth="1"/>
    <x:col min="7" max="7" width="16" customWidth="1"/>
    <x:col min="8" max="8" width="34" customWidth="1"/>
    <x:col min="9" max="9" width="48" customWidth="1"/>
  </x:cols>
  <x:sheetData>
    <x:row r="1">
      <x:c r="A1" s="1" t="inlineStr">
        <x:is>
          <x:t xml:space="preserve">Mã</x:t>
        </x:is>
      </x:c>
      <x:c r="B1" s="1" t="inlineStr">
        <x:is>
          <x:t xml:space="preserve">Ngành</x:t>
        </x:is>
      </x:c>
      <x:c r="C1" s="1" t="inlineStr">
        <x:is>
          <x:t xml:space="preserve">Phương pháp</x:t>
        </x:is>
      </x:c>
      <x:c r="D1" s="1" t="inlineStr">
        <x:is>
          <x:t xml:space="preserve">Giá</x:t>
        </x:is>
      </x:c>
      <x:c r="E1" s="1" t="inlineStr">
        <x:is>
          <x:t xml:space="preserve">FV</x:t>
        </x:is>
      </x:c>
      <x:c r="F1" s="1" t="inlineStr">
        <x:is>
          <x:t xml:space="preserve">Upside %</x:t>
        </x:is>
      </x:c>
      <x:c r="G1" s="1" t="inlineStr">
        <x:is>
          <x:t xml:space="preserve">Khuyến nghị</x:t>
        </x:is>
      </x:c>
      <x:c r="H1" s="1" t="inlineStr">
        <x:is>
          <x:t xml:space="preserve">Độ tin cậy</x:t>
        </x:is>
      </x:c>
      <x:c r="I1" s="1" t="inlineStr">
        <x:is>
          <x:t xml:space="preserve">Cờ</x:t>
        </x:is>
      </x:c>
    </x:row>
    <x:row r="2">
      <x:c r="A2" t="inlineStr">
        <x:is>
          <x:t xml:space="preserve">NVL</x:t>
        </x:is>
      </x:c>
      <x:c r="B2" t="inlineStr">
        <x:is>
          <x:t xml:space="preserve">BĐS</x:t>
        </x:is>
      </x:c>
      <x:c r="C2" t="inlineStr">
        <x:is>
          <x:t xml:space="preserve">RNAV (proxy)</x:t>
        </x:is>
      </x:c>
      <x:c r="D2" s="2" t="n">
        <x:v>13050</x:v>
      </x:c>
      <x:c r="E2" s="2" t="n">
        <x:v>40208</x:v>
      </x:c>
      <x:c r="F2" s="3" t="n">
        <x:v>208.1</x:v>
      </x:c>
      <x:c r="G2" t="inlineStr">
        <x:is>
          <x:t xml:space="preserve">BUY</x:t>
        </x:is>
      </x:c>
      <x:c r="H2" s="4" t="inlineStr">
        <x:is>
          <x:t xml:space="preserve">Proxy - không khuyến nghị</x:t>
        </x:is>
      </x:c>
      <x:c r="I2" t="inlineStr">
        <x:is>
          <x:t xml:space="preserve">VALUATION_PROXY, UPSIDE_EXTREME_REVIEW</x:t>
        </x:is>
      </x:c>
    </x:row>
    <x:row r="3">
      <x:c r="A3" t="inlineStr">
        <x:is>
          <x:t xml:space="preserve">NAB</x:t>
        </x:is>
      </x:c>
      <x:c r="B3" t="inlineStr">
        <x:is>
          <x:t xml:space="preserve">NH</x:t>
        </x:is>
      </x:c>
      <x:c r="C3" t="inlineStr">
        <x:is>
          <x:t xml:space="preserve">Thu nhập thặng dư + P/B</x:t>
        </x:is>
      </x:c>
      <x:c r="D3" s="2" t="n">
        <x:v>11550</x:v>
      </x:c>
      <x:c r="E3" s="2" t="n">
        <x:v>29128</x:v>
      </x:c>
      <x:c r="F3" s="3" t="n">
        <x:v>152.2</x:v>
      </x:c>
      <x:c r="G3" t="inlineStr">
        <x:is>
          <x:t xml:space="preserve">BUY</x:t>
        </x:is>
      </x:c>
      <x:c r="H3" s="5" t="inlineStr">
        <x:is>
          <x:t xml:space="preserve">Cần kiểm tra</x:t>
        </x:is>
      </x:c>
      <x:c r="I3" t="inlineStr">
        <x:is>
          <x:t xml:space="preserve">UPSIDE_EXTREME_REVIEW</x:t>
        </x:is>
      </x:c>
    </x:row>
    <x:row r="4">
      <x:c r="A4" t="inlineStr">
        <x:is>
          <x:t xml:space="preserve">NT2</x:t>
        </x:is>
      </x:c>
      <x:c r="B4" t="inlineStr">
        <x:is>
          <x:t xml:space="preserve">Điện</x:t>
        </x:is>
      </x:c>
      <x:c r="C4" t="inlineStr">
        <x:is>
          <x:t xml:space="preserve">DCF/FCFF</x:t>
        </x:is>
      </x:c>
      <x:c r="D4" s="2" t="n">
        <x:v>20950</x:v>
      </x:c>
      <x:c r="E4" s="2" t="n">
        <x:v>45359</x:v>
      </x:c>
      <x:c r="F4" s="3" t="n">
        <x:v>116.5</x:v>
      </x:c>
      <x:c r="G4" t="inlineStr">
        <x:is>
          <x:t xml:space="preserve">BUY</x:t>
        </x:is>
      </x:c>
      <x:c r="H4" t="inlineStr">
        <x:is>
          <x:t xml:space="preserve">Mô hình ngành - chưa golden test</x:t>
        </x:is>
      </x:c>
      <x:c r="I4" t="inlineStr">
        <x:is>
          <x:t xml:space="preserve">DDM_BLEND</x:t>
        </x:is>
      </x:c>
    </x:row>
    <x:row r="5">
      <x:c r="A5" t="inlineStr">
        <x:is>
          <x:t xml:space="preserve">SHB</x:t>
        </x:is>
      </x:c>
      <x:c r="B5" t="inlineStr">
        <x:is>
          <x:t xml:space="preserve">NH</x:t>
        </x:is>
      </x:c>
      <x:c r="C5" t="inlineStr">
        <x:is>
          <x:t xml:space="preserve">Thu nhập thặng dư + P/B</x:t>
        </x:is>
      </x:c>
      <x:c r="D5" s="2" t="n">
        <x:v>12200</x:v>
      </x:c>
      <x:c r="E5" s="2" t="n">
        <x:v>25260</x:v>
      </x:c>
      <x:c r="F5" s="3" t="n">
        <x:v>107.1</x:v>
      </x:c>
      <x:c r="G5" t="inlineStr">
        <x:is>
          <x:t xml:space="preserve">BUY</x:t>
        </x:is>
      </x:c>
      <x:c r="H5" t="inlineStr">
        <x:is>
          <x:t xml:space="preserve">Mô hình ngành - chưa golden test</x:t>
        </x:is>
      </x:c>
      <x:c r="I5" t="inlineStr">
        <x:is>
          <x:t xml:space="preserve"/>
        </x:is>
      </x:c>
    </x:row>
    <x:row r="6">
      <x:c r="A6" t="inlineStr">
        <x:is>
          <x:t xml:space="preserve">MBB</x:t>
        </x:is>
      </x:c>
      <x:c r="B6" t="inlineStr">
        <x:is>
          <x:t xml:space="preserve">NH</x:t>
        </x:is>
      </x:c>
      <x:c r="C6" t="inlineStr">
        <x:is>
          <x:t xml:space="preserve">Thu nhập thặng dư + P/B</x:t>
        </x:is>
      </x:c>
      <x:c r="D6" s="2" t="n">
        <x:v>21050</x:v>
      </x:c>
      <x:c r="E6" s="2" t="n">
        <x:v>42731</x:v>
      </x:c>
      <x:c r="F6" s="3" t="n">
        <x:v>103</x:v>
      </x:c>
      <x:c r="G6" t="inlineStr">
        <x:is>
          <x:t xml:space="preserve">BUY</x:t>
        </x:is>
      </x:c>
      <x:c r="H6" t="inlineStr">
        <x:is>
          <x:t xml:space="preserve">Mô hình ngành - chưa golden test</x:t>
        </x:is>
      </x:c>
      <x:c r="I6" t="inlineStr">
        <x:is>
          <x:t xml:space="preserve">CREDIT_GROWTH_CAPPED</x:t>
        </x:is>
      </x:c>
    </x:row>
    <x:row r="7">
      <x:c r="A7" t="inlineStr">
        <x:is>
          <x:t xml:space="preserve">DCM</x:t>
        </x:is>
      </x:c>
      <x:c r="B7" t="inlineStr">
        <x:is>
          <x:t xml:space="preserve">Hóa chất</x:t>
        </x:is>
      </x:c>
      <x:c r="C7" t="inlineStr">
        <x:is>
          <x:t xml:space="preserve">DCF/FCFF</x:t>
        </x:is>
      </x:c>
      <x:c r="D7" s="2" t="n">
        <x:v>30850</x:v>
      </x:c>
      <x:c r="E7" s="2" t="n">
        <x:v>61304</x:v>
      </x:c>
      <x:c r="F7" s="3" t="n">
        <x:v>98.7</x:v>
      </x:c>
      <x:c r="G7" t="inlineStr">
        <x:is>
          <x:t xml:space="preserve">BUY</x:t>
        </x:is>
      </x:c>
      <x:c r="H7" t="inlineStr">
        <x:is>
          <x:t xml:space="preserve">Mô hình ngành - chưa golden test</x:t>
        </x:is>
      </x:c>
      <x:c r="I7" t="inlineStr">
        <x:is>
          <x:t xml:space="preserve"/>
        </x:is>
      </x:c>
    </x:row>
    <x:row r="8">
      <x:c r="A8" t="inlineStr">
        <x:is>
          <x:t xml:space="preserve">VGC</x:t>
        </x:is>
      </x:c>
      <x:c r="B8" t="inlineStr">
        <x:is>
          <x:t xml:space="preserve">KCN</x:t>
        </x:is>
      </x:c>
      <x:c r="C8" t="inlineStr">
        <x:is>
          <x:t xml:space="preserve">DCF/FCFF</x:t>
        </x:is>
      </x:c>
      <x:c r="D8" s="2" t="n">
        <x:v>40450</x:v>
      </x:c>
      <x:c r="E8" s="2" t="n">
        <x:v>77573</x:v>
      </x:c>
      <x:c r="F8" s="3" t="n">
        <x:v>91.8</x:v>
      </x:c>
      <x:c r="G8" t="inlineStr">
        <x:is>
          <x:t xml:space="preserve">BUY</x:t>
        </x:is>
      </x:c>
      <x:c r="H8" t="inlineStr">
        <x:is>
          <x:t xml:space="preserve">Mô hình ngành - chưa golden test</x:t>
        </x:is>
      </x:c>
      <x:c r="I8" t="inlineStr">
        <x:is>
          <x:t xml:space="preserve"/>
        </x:is>
      </x:c>
    </x:row>
    <x:row r="9">
      <x:c r="A9" t="inlineStr">
        <x:is>
          <x:t xml:space="preserve">HHV</x:t>
        </x:is>
      </x:c>
      <x:c r="B9" t="inlineStr">
        <x:is>
          <x:t xml:space="preserve">Xây dựng</x:t>
        </x:is>
      </x:c>
      <x:c r="C9" t="inlineStr">
        <x:is>
          <x:t xml:space="preserve">DCF/FCFF</x:t>
        </x:is>
      </x:c>
      <x:c r="D9" s="2" t="n">
        <x:v>10050</x:v>
      </x:c>
      <x:c r="E9" s="2" t="n">
        <x:v>18317</x:v>
      </x:c>
      <x:c r="F9" s="3" t="n">
        <x:v>82.3</x:v>
      </x:c>
      <x:c r="G9" t="inlineStr">
        <x:is>
          <x:t xml:space="preserve">BUY</x:t>
        </x:is>
      </x:c>
      <x:c r="H9" t="inlineStr">
        <x:is>
          <x:t xml:space="preserve">Mô hình ngành - chưa golden test</x:t>
        </x:is>
      </x:c>
      <x:c r="I9" t="inlineStr">
        <x:is>
          <x:t xml:space="preserve"/>
        </x:is>
      </x:c>
    </x:row>
    <x:row r="10">
      <x:c r="A10" t="inlineStr">
        <x:is>
          <x:t xml:space="preserve">TPB</x:t>
        </x:is>
      </x:c>
      <x:c r="B10" t="inlineStr">
        <x:is>
          <x:t xml:space="preserve">NH</x:t>
        </x:is>
      </x:c>
      <x:c r="C10" t="inlineStr">
        <x:is>
          <x:t xml:space="preserve">Thu nhập thặng dư + P/B</x:t>
        </x:is>
      </x:c>
      <x:c r="D10" s="2" t="n">
        <x:v>14650</x:v>
      </x:c>
      <x:c r="E10" s="2" t="n">
        <x:v>26065</x:v>
      </x:c>
      <x:c r="F10" s="3" t="n">
        <x:v>77.90000000000001</x:v>
      </x:c>
      <x:c r="G10" t="inlineStr">
        <x:is>
          <x:t xml:space="preserve">BUY</x:t>
        </x:is>
      </x:c>
      <x:c r="H10" t="inlineStr">
        <x:is>
          <x:t xml:space="preserve">Mô hình ngành - chưa golden test</x:t>
        </x:is>
      </x:c>
      <x:c r="I10" t="inlineStr">
        <x:is>
          <x:t xml:space="preserve"/>
        </x:is>
      </x:c>
    </x:row>
    <x:row r="11">
      <x:c r="A11" t="inlineStr">
        <x:is>
          <x:t xml:space="preserve">PC1</x:t>
        </x:is>
      </x:c>
      <x:c r="B11" t="inlineStr">
        <x:is>
          <x:t xml:space="preserve">Điện</x:t>
        </x:is>
      </x:c>
      <x:c r="C11" t="inlineStr">
        <x:is>
          <x:t xml:space="preserve">DCF/FCFF</x:t>
        </x:is>
      </x:c>
      <x:c r="D11" s="2" t="n">
        <x:v>20700</x:v>
      </x:c>
      <x:c r="E11" s="2" t="n">
        <x:v>36132</x:v>
      </x:c>
      <x:c r="F11" s="3" t="n">
        <x:v>74.59999999999999</x:v>
      </x:c>
      <x:c r="G11" t="inlineStr">
        <x:is>
          <x:t xml:space="preserve">BUY</x:t>
        </x:is>
      </x:c>
      <x:c r="H11" t="inlineStr">
        <x:is>
          <x:t xml:space="preserve">Mô hình ngành - chưa golden test</x:t>
        </x:is>
      </x:c>
      <x:c r="I11" t="inlineStr">
        <x:is>
          <x:t xml:space="preserve">DDM_BLEND</x:t>
        </x:is>
      </x:c>
    </x:row>
    <x:row r="12">
      <x:c r="A12" t="inlineStr">
        <x:is>
          <x:t xml:space="preserve">PNJ</x:t>
        </x:is>
      </x:c>
      <x:c r="B12" t="inlineStr">
        <x:is>
          <x:t xml:space="preserve">Bán lẻ</x:t>
        </x:is>
      </x:c>
      <x:c r="C12" t="inlineStr">
        <x:is>
          <x:t xml:space="preserve">DCF/FCFF</x:t>
        </x:is>
      </x:c>
      <x:c r="D12" s="2" t="n">
        <x:v>42100</x:v>
      </x:c>
      <x:c r="E12" s="2" t="n">
        <x:v>67337</x:v>
      </x:c>
      <x:c r="F12" s="3" t="n">
        <x:v>59.9</x:v>
      </x:c>
      <x:c r="G12" t="inlineStr">
        <x:is>
          <x:t xml:space="preserve">BUY</x:t>
        </x:is>
      </x:c>
      <x:c r="H12" t="inlineStr">
        <x:is>
          <x:t xml:space="preserve">Mô hình ngành - chưa golden test</x:t>
        </x:is>
      </x:c>
      <x:c r="I12" t="inlineStr">
        <x:is>
          <x:t xml:space="preserve"/>
        </x:is>
      </x:c>
    </x:row>
    <x:row r="13">
      <x:c r="A13" t="inlineStr">
        <x:is>
          <x:t xml:space="preserve">DXG</x:t>
        </x:is>
      </x:c>
      <x:c r="B13" t="inlineStr">
        <x:is>
          <x:t xml:space="preserve">BĐS</x:t>
        </x:is>
      </x:c>
      <x:c r="C13" t="inlineStr">
        <x:is>
          <x:t xml:space="preserve">RNAV (proxy)</x:t>
        </x:is>
      </x:c>
      <x:c r="D13" s="2" t="n">
        <x:v>12100</x:v>
      </x:c>
      <x:c r="E13" s="2" t="n">
        <x:v>19158</x:v>
      </x:c>
      <x:c r="F13" s="3" t="n">
        <x:v>58.3</x:v>
      </x:c>
      <x:c r="G13" t="inlineStr">
        <x:is>
          <x:t xml:space="preserve">BUY</x:t>
        </x:is>
      </x:c>
      <x:c r="H13" s="4" t="inlineStr">
        <x:is>
          <x:t xml:space="preserve">Proxy - không khuyến nghị</x:t>
        </x:is>
      </x:c>
      <x:c r="I13" t="inlineStr">
        <x:is>
          <x:t xml:space="preserve">VALUATION_PROXY</x:t>
        </x:is>
      </x:c>
    </x:row>
    <x:row r="14">
      <x:c r="A14" t="inlineStr">
        <x:is>
          <x:t xml:space="preserve">CTG</x:t>
        </x:is>
      </x:c>
      <x:c r="B14" t="inlineStr">
        <x:is>
          <x:t xml:space="preserve">NH</x:t>
        </x:is>
      </x:c>
      <x:c r="C14" t="inlineStr">
        <x:is>
          <x:t xml:space="preserve">Thu nhập thặng dư + P/B</x:t>
        </x:is>
      </x:c>
      <x:c r="D14" s="2" t="n">
        <x:v>31950</x:v>
      </x:c>
      <x:c r="E14" s="2" t="n">
        <x:v>48408</x:v>
      </x:c>
      <x:c r="F14" s="3" t="n">
        <x:v>51.5</x:v>
      </x:c>
      <x:c r="G14" t="inlineStr">
        <x:is>
          <x:t xml:space="preserve">BUY</x:t>
        </x:is>
      </x:c>
      <x:c r="H14" t="inlineStr">
        <x:is>
          <x:t xml:space="preserve">Mô hình ngành - chưa golden test</x:t>
        </x:is>
      </x:c>
      <x:c r="I14" t="inlineStr">
        <x:is>
          <x:t xml:space="preserve"/>
        </x:is>
      </x:c>
    </x:row>
    <x:row r="15">
      <x:c r="A15" t="inlineStr">
        <x:is>
          <x:t xml:space="preserve">ACB</x:t>
        </x:is>
      </x:c>
      <x:c r="B15" t="inlineStr">
        <x:is>
          <x:t xml:space="preserve">NH</x:t>
        </x:is>
      </x:c>
      <x:c r="C15" t="inlineStr">
        <x:is>
          <x:t xml:space="preserve">Thu nhập thặng dư + P/B</x:t>
        </x:is>
      </x:c>
      <x:c r="D15" s="2" t="n">
        <x:v>22650</x:v>
      </x:c>
      <x:c r="E15" s="2" t="n">
        <x:v>33038</x:v>
      </x:c>
      <x:c r="F15" s="3" t="n">
        <x:v>45.9</x:v>
      </x:c>
      <x:c r="G15" t="inlineStr">
        <x:is>
          <x:t xml:space="preserve">BUY</x:t>
        </x:is>
      </x:c>
      <x:c r="H15" t="inlineStr">
        <x:is>
          <x:t xml:space="preserve">Mô hình ngành - chưa golden test</x:t>
        </x:is>
      </x:c>
      <x:c r="I15" t="inlineStr">
        <x:is>
          <x:t xml:space="preserve"/>
        </x:is>
      </x:c>
    </x:row>
    <x:row r="16">
      <x:c r="A16" t="inlineStr">
        <x:is>
          <x:t xml:space="preserve">PVT</x:t>
        </x:is>
      </x:c>
      <x:c r="B16" t="inlineStr">
        <x:is>
          <x:t xml:space="preserve">Dầu khí</x:t>
        </x:is>
      </x:c>
      <x:c r="C16" t="inlineStr">
        <x:is>
          <x:t xml:space="preserve">EV/EBITDA (chuẩn hóa)</x:t>
        </x:is>
      </x:c>
      <x:c r="D16" s="2" t="n">
        <x:v>20200</x:v>
      </x:c>
      <x:c r="E16" s="2" t="n">
        <x:v>29253</x:v>
      </x:c>
      <x:c r="F16" s="3" t="n">
        <x:v>44.8</x:v>
      </x:c>
      <x:c r="G16" t="inlineStr">
        <x:is>
          <x:t xml:space="preserve">BUY</x:t>
        </x:is>
      </x:c>
      <x:c r="H16" t="inlineStr">
        <x:is>
          <x:t xml:space="preserve">Mô hình ngành - chưa golden test</x:t>
        </x:is>
      </x:c>
      <x:c r="I16" t="inlineStr">
        <x:is>
          <x:t xml:space="preserve">EBITDA_NORMALIZED_CYCLICAL</x:t>
        </x:is>
      </x:c>
    </x:row>
    <x:row r="17">
      <x:c r="A17" t="inlineStr">
        <x:is>
          <x:t xml:space="preserve">HDB</x:t>
        </x:is>
      </x:c>
      <x:c r="B17" t="inlineStr">
        <x:is>
          <x:t xml:space="preserve">NH</x:t>
        </x:is>
      </x:c>
      <x:c r="C17" t="inlineStr">
        <x:is>
          <x:t xml:space="preserve">Thu nhập thặng dư + P/B</x:t>
        </x:is>
      </x:c>
      <x:c r="D17" s="2" t="n">
        <x:v>27800</x:v>
      </x:c>
      <x:c r="E17" s="2" t="n">
        <x:v>38830</x:v>
      </x:c>
      <x:c r="F17" s="3" t="n">
        <x:v>39.7</x:v>
      </x:c>
      <x:c r="G17" t="inlineStr">
        <x:is>
          <x:t xml:space="preserve">BUY</x:t>
        </x:is>
      </x:c>
      <x:c r="H17" t="inlineStr">
        <x:is>
          <x:t xml:space="preserve">Mô hình ngành - chưa golden test</x:t>
        </x:is>
      </x:c>
      <x:c r="I17" t="inlineStr">
        <x:is>
          <x:t xml:space="preserve">CREDIT_GROWTH_CAPPED</x:t>
        </x:is>
      </x:c>
    </x:row>
    <x:row r="18">
      <x:c r="A18" t="inlineStr">
        <x:is>
          <x:t xml:space="preserve">NLG</x:t>
        </x:is>
      </x:c>
      <x:c r="B18" t="inlineStr">
        <x:is>
          <x:t xml:space="preserve">BĐS</x:t>
        </x:is>
      </x:c>
      <x:c r="C18" t="inlineStr">
        <x:is>
          <x:t xml:space="preserve">RNAV (proxy)</x:t>
        </x:is>
      </x:c>
      <x:c r="D18" s="2" t="n">
        <x:v>24300</x:v>
      </x:c>
      <x:c r="E18" s="2" t="n">
        <x:v>33731</x:v>
      </x:c>
      <x:c r="F18" s="3" t="n">
        <x:v>38.8</x:v>
      </x:c>
      <x:c r="G18" t="inlineStr">
        <x:is>
          <x:t xml:space="preserve">BUY</x:t>
        </x:is>
      </x:c>
      <x:c r="H18" s="4" t="inlineStr">
        <x:is>
          <x:t xml:space="preserve">Proxy - không khuyến nghị</x:t>
        </x:is>
      </x:c>
      <x:c r="I18" t="inlineStr">
        <x:is>
          <x:t xml:space="preserve">VALUATION_PROXY</x:t>
        </x:is>
      </x:c>
    </x:row>
    <x:row r="19">
      <x:c r="A19" t="inlineStr">
        <x:is>
          <x:t xml:space="preserve">VIB</x:t>
        </x:is>
      </x:c>
      <x:c r="B19" t="inlineStr">
        <x:is>
          <x:t xml:space="preserve">NH</x:t>
        </x:is>
      </x:c>
      <x:c r="C19" t="inlineStr">
        <x:is>
          <x:t xml:space="preserve">Thu nhập thặng dư + P/B</x:t>
        </x:is>
      </x:c>
      <x:c r="D19" s="2" t="n">
        <x:v>14950</x:v>
      </x:c>
      <x:c r="E19" s="2" t="n">
        <x:v>20718</x:v>
      </x:c>
      <x:c r="F19" s="3" t="n">
        <x:v>38.6</x:v>
      </x:c>
      <x:c r="G19" t="inlineStr">
        <x:is>
          <x:t xml:space="preserve">BUY</x:t>
        </x:is>
      </x:c>
      <x:c r="H19" t="inlineStr">
        <x:is>
          <x:t xml:space="preserve">Mô hình ngành - chưa golden test</x:t>
        </x:is>
      </x:c>
      <x:c r="I19" t="inlineStr">
        <x:is>
          <x:t xml:space="preserve"/>
        </x:is>
      </x:c>
    </x:row>
    <x:row r="20">
      <x:c r="A20" t="inlineStr">
        <x:is>
          <x:t xml:space="preserve">HDG</x:t>
        </x:is>
      </x:c>
      <x:c r="B20" t="inlineStr">
        <x:is>
          <x:t xml:space="preserve">Điện</x:t>
        </x:is>
      </x:c>
      <x:c r="C20" t="inlineStr">
        <x:is>
          <x:t xml:space="preserve">DCF/FCFF</x:t>
        </x:is>
      </x:c>
      <x:c r="D20" s="2" t="n">
        <x:v>16650</x:v>
      </x:c>
      <x:c r="E20" s="2" t="n">
        <x:v>22604</x:v>
      </x:c>
      <x:c r="F20" s="3" t="n">
        <x:v>35.8</x:v>
      </x:c>
      <x:c r="G20" t="inlineStr">
        <x:is>
          <x:t xml:space="preserve">BUY</x:t>
        </x:is>
      </x:c>
      <x:c r="H20" t="inlineStr">
        <x:is>
          <x:t xml:space="preserve">Mô hình ngành - chưa golden test</x:t>
        </x:is>
      </x:c>
      <x:c r="I20" t="inlineStr">
        <x:is>
          <x:t xml:space="preserve">DDM_BLEND</x:t>
        </x:is>
      </x:c>
    </x:row>
    <x:row r="21">
      <x:c r="A21" t="inlineStr">
        <x:is>
          <x:t xml:space="preserve">HT1</x:t>
        </x:is>
      </x:c>
      <x:c r="B21" t="inlineStr">
        <x:is>
          <x:t xml:space="preserve">Thép</x:t>
        </x:is>
      </x:c>
      <x:c r="C21" t="inlineStr">
        <x:is>
          <x:t xml:space="preserve">EV/EBITDA (chuẩn hóa)</x:t>
        </x:is>
      </x:c>
      <x:c r="D21" s="2" t="n">
        <x:v>12600</x:v>
      </x:c>
      <x:c r="E21" s="2" t="n">
        <x:v>16458</x:v>
      </x:c>
      <x:c r="F21" s="3" t="n">
        <x:v>30.6</x:v>
      </x:c>
      <x:c r="G21" t="inlineStr">
        <x:is>
          <x:t xml:space="preserve">BUY</x:t>
        </x:is>
      </x:c>
      <x:c r="H21" t="inlineStr">
        <x:is>
          <x:t xml:space="preserve">Đã kiểm chứng</x:t>
        </x:is>
      </x:c>
      <x:c r="I21" t="inlineStr">
        <x:is>
          <x:t xml:space="preserve">EBITDA_NORMALIZED_CYCLICAL</x:t>
        </x:is>
      </x:c>
    </x:row>
    <x:row r="22">
      <x:c r="A22" t="inlineStr">
        <x:is>
          <x:t xml:space="preserve">BWE</x:t>
        </x:is>
      </x:c>
      <x:c r="B22" t="inlineStr">
        <x:is>
          <x:t xml:space="preserve">Nước</x:t>
        </x:is>
      </x:c>
      <x:c r="C22" t="inlineStr">
        <x:is>
          <x:t xml:space="preserve">DCF/FCFF</x:t>
        </x:is>
      </x:c>
      <x:c r="D22" s="2" t="n">
        <x:v>42300</x:v>
      </x:c>
      <x:c r="E22" s="2" t="n">
        <x:v>54599</x:v>
      </x:c>
      <x:c r="F22" s="3" t="n">
        <x:v>29.1</x:v>
      </x:c>
      <x:c r="G22" t="inlineStr">
        <x:is>
          <x:t xml:space="preserve">BUY</x:t>
        </x:is>
      </x:c>
      <x:c r="H22" t="inlineStr">
        <x:is>
          <x:t xml:space="preserve">Mô hình ngành - chưa golden test</x:t>
        </x:is>
      </x:c>
      <x:c r="I22" t="inlineStr">
        <x:is>
          <x:t xml:space="preserve"/>
        </x:is>
      </x:c>
    </x:row>
    <x:row r="23">
      <x:c r="A23" t="inlineStr">
        <x:is>
          <x:t xml:space="preserve">OCB</x:t>
        </x:is>
      </x:c>
      <x:c r="B23" t="inlineStr">
        <x:is>
          <x:t xml:space="preserve">NH</x:t>
        </x:is>
      </x:c>
      <x:c r="C23" t="inlineStr">
        <x:is>
          <x:t xml:space="preserve">Thu nhập thặng dư + P/B</x:t>
        </x:is>
      </x:c>
      <x:c r="D23" s="2" t="n">
        <x:v>11000</x:v>
      </x:c>
      <x:c r="E23" s="2" t="n">
        <x:v>14190</x:v>
      </x:c>
      <x:c r="F23" s="3" t="n">
        <x:v>29</x:v>
      </x:c>
      <x:c r="G23" t="inlineStr">
        <x:is>
          <x:t xml:space="preserve">BUY</x:t>
        </x:is>
      </x:c>
      <x:c r="H23" t="inlineStr">
        <x:is>
          <x:t xml:space="preserve">Mô hình ngành - chưa golden test</x:t>
        </x:is>
      </x:c>
      <x:c r="I23" t="inlineStr">
        <x:is>
          <x:t xml:space="preserve"/>
        </x:is>
      </x:c>
    </x:row>
    <x:row r="24">
      <x:c r="A24" t="inlineStr">
        <x:is>
          <x:t xml:space="preserve">DBC</x:t>
        </x:is>
      </x:c>
      <x:c r="B24" t="inlineStr">
        <x:is>
          <x:t xml:space="preserve">Cao su/NN</x:t>
        </x:is>
      </x:c>
      <x:c r="C24" t="inlineStr">
        <x:is>
          <x:t xml:space="preserve">DCF/FCFF</x:t>
        </x:is>
      </x:c>
      <x:c r="D24" s="2" t="n">
        <x:v>17400</x:v>
      </x:c>
      <x:c r="E24" s="2" t="n">
        <x:v>22328</x:v>
      </x:c>
      <x:c r="F24" s="3" t="n">
        <x:v>28.3</x:v>
      </x:c>
      <x:c r="G24" t="inlineStr">
        <x:is>
          <x:t xml:space="preserve">HOLD</x:t>
        </x:is>
      </x:c>
      <x:c r="H24" t="inlineStr">
        <x:is>
          <x:t xml:space="preserve">Mô hình ngành - chưa golden test</x:t>
        </x:is>
      </x:c>
      <x:c r="I24" t="inlineStr">
        <x:is>
          <x:t xml:space="preserve"/>
        </x:is>
      </x:c>
    </x:row>
    <x:row r="25">
      <x:c r="A25" t="inlineStr">
        <x:is>
          <x:t xml:space="preserve">KBC</x:t>
        </x:is>
      </x:c>
      <x:c r="B25" t="inlineStr">
        <x:is>
          <x:t xml:space="preserve">KCN</x:t>
        </x:is>
      </x:c>
      <x:c r="C25" t="inlineStr">
        <x:is>
          <x:t xml:space="preserve">RNAV (proxy)</x:t>
        </x:is>
      </x:c>
      <x:c r="D25" s="2" t="n">
        <x:v>27400</x:v>
      </x:c>
      <x:c r="E25" s="2" t="n">
        <x:v>35097</x:v>
      </x:c>
      <x:c r="F25" s="3" t="n">
        <x:v>28.1</x:v>
      </x:c>
      <x:c r="G25" t="inlineStr">
        <x:is>
          <x:t xml:space="preserve">HOLD</x:t>
        </x:is>
      </x:c>
      <x:c r="H25" s="4" t="inlineStr">
        <x:is>
          <x:t xml:space="preserve">Proxy - không khuyến nghị</x:t>
        </x:is>
      </x:c>
      <x:c r="I25" t="inlineStr">
        <x:is>
          <x:t xml:space="preserve">VALUATION_PROXY</x:t>
        </x:is>
      </x:c>
    </x:row>
    <x:row r="26">
      <x:c r="A26" t="inlineStr">
        <x:is>
          <x:t xml:space="preserve">MSB</x:t>
        </x:is>
      </x:c>
      <x:c r="B26" t="inlineStr">
        <x:is>
          <x:t xml:space="preserve">NH</x:t>
        </x:is>
      </x:c>
      <x:c r="C26" t="inlineStr">
        <x:is>
          <x:t xml:space="preserve">Thu nhập thặng dư + P/B</x:t>
        </x:is>
      </x:c>
      <x:c r="D26" s="2" t="n">
        <x:v>13350</x:v>
      </x:c>
      <x:c r="E26" s="2" t="n">
        <x:v>17067</x:v>
      </x:c>
      <x:c r="F26" s="3" t="n">
        <x:v>27.8</x:v>
      </x:c>
      <x:c r="G26" t="inlineStr">
        <x:is>
          <x:t xml:space="preserve">BUY</x:t>
        </x:is>
      </x:c>
      <x:c r="H26" t="inlineStr">
        <x:is>
          <x:t xml:space="preserve">Mô hình ngành - chưa golden test</x:t>
        </x:is>
      </x:c>
      <x:c r="I26" t="inlineStr">
        <x:is>
          <x:t xml:space="preserve"/>
        </x:is>
      </x:c>
    </x:row>
    <x:row r="27">
      <x:c r="A27" t="inlineStr">
        <x:is>
          <x:t xml:space="preserve">DIG</x:t>
        </x:is>
      </x:c>
      <x:c r="B27" t="inlineStr">
        <x:is>
          <x:t xml:space="preserve">BĐS</x:t>
        </x:is>
      </x:c>
      <x:c r="C27" t="inlineStr">
        <x:is>
          <x:t xml:space="preserve">RNAV (proxy)</x:t>
        </x:is>
      </x:c>
      <x:c r="D27" s="2" t="n">
        <x:v>11400</x:v>
      </x:c>
      <x:c r="E27" s="2" t="n">
        <x:v>14556</x:v>
      </x:c>
      <x:c r="F27" s="3" t="n">
        <x:v>27.7</x:v>
      </x:c>
      <x:c r="G27" t="inlineStr">
        <x:is>
          <x:t xml:space="preserve">HOLD</x:t>
        </x:is>
      </x:c>
      <x:c r="H27" s="4" t="inlineStr">
        <x:is>
          <x:t xml:space="preserve">Proxy - không khuyến nghị</x:t>
        </x:is>
      </x:c>
      <x:c r="I27" t="inlineStr">
        <x:is>
          <x:t xml:space="preserve">VALUATION_PROXY</x:t>
        </x:is>
      </x:c>
    </x:row>
    <x:row r="28">
      <x:c r="A28" t="inlineStr">
        <x:is>
          <x:t xml:space="preserve">BID</x:t>
        </x:is>
      </x:c>
      <x:c r="B28" t="inlineStr">
        <x:is>
          <x:t xml:space="preserve">NH</x:t>
        </x:is>
      </x:c>
      <x:c r="C28" t="inlineStr">
        <x:is>
          <x:t xml:space="preserve">Thu nhập thặng dư + P/B</x:t>
        </x:is>
      </x:c>
      <x:c r="D28" s="2" t="n">
        <x:v>36850</x:v>
      </x:c>
      <x:c r="E28" s="2" t="n">
        <x:v>46354</x:v>
      </x:c>
      <x:c r="F28" s="3" t="n">
        <x:v>25.8</x:v>
      </x:c>
      <x:c r="G28" t="inlineStr">
        <x:is>
          <x:t xml:space="preserve">BUY</x:t>
        </x:is>
      </x:c>
      <x:c r="H28" t="inlineStr">
        <x:is>
          <x:t xml:space="preserve">Mô hình ngành - chưa golden test</x:t>
        </x:is>
      </x:c>
      <x:c r="I28" t="inlineStr">
        <x:is>
          <x:t xml:space="preserve"/>
        </x:is>
      </x:c>
    </x:row>
    <x:row r="29">
      <x:c r="A29" t="inlineStr">
        <x:is>
          <x:t xml:space="preserve">PDR</x:t>
        </x:is>
      </x:c>
      <x:c r="B29" t="inlineStr">
        <x:is>
          <x:t xml:space="preserve">BĐS</x:t>
        </x:is>
      </x:c>
      <x:c r="C29" t="inlineStr">
        <x:is>
          <x:t xml:space="preserve">RNAV (proxy)</x:t>
        </x:is>
      </x:c>
      <x:c r="D29" s="2" t="n">
        <x:v>12400</x:v>
      </x:c>
      <x:c r="E29" s="2" t="n">
        <x:v>15053</x:v>
      </x:c>
      <x:c r="F29" s="3" t="n">
        <x:v>21.4</x:v>
      </x:c>
      <x:c r="G29" t="inlineStr">
        <x:is>
          <x:t xml:space="preserve">HOLD</x:t>
        </x:is>
      </x:c>
      <x:c r="H29" s="4" t="inlineStr">
        <x:is>
          <x:t xml:space="preserve">Proxy - không khuyến nghị</x:t>
        </x:is>
      </x:c>
      <x:c r="I29" t="inlineStr">
        <x:is>
          <x:t xml:space="preserve">VALUATION_PROXY</x:t>
        </x:is>
      </x:c>
    </x:row>
    <x:row r="30">
      <x:c r="A30" t="inlineStr">
        <x:is>
          <x:t xml:space="preserve">FPT</x:t>
        </x:is>
      </x:c>
      <x:c r="B30" t="inlineStr">
        <x:is>
          <x:t xml:space="preserve">Công nghệ</x:t>
        </x:is>
      </x:c>
      <x:c r="C30" t="inlineStr">
        <x:is>
          <x:t xml:space="preserve">DCF/FCFF</x:t>
        </x:is>
      </x:c>
      <x:c r="D30" s="2" t="n">
        <x:v>73200</x:v>
      </x:c>
      <x:c r="E30" s="2" t="n">
        <x:v>87488</x:v>
      </x:c>
      <x:c r="F30" s="3" t="n">
        <x:v>19.5</x:v>
      </x:c>
      <x:c r="G30" t="inlineStr">
        <x:is>
          <x:t xml:space="preserve">BUY</x:t>
        </x:is>
      </x:c>
      <x:c r="H30" t="inlineStr">
        <x:is>
          <x:t xml:space="preserve">Đã kiểm chứng</x:t>
        </x:is>
      </x:c>
      <x:c r="I30" t="inlineStr">
        <x:is>
          <x:t xml:space="preserve"/>
        </x:is>
      </x:c>
    </x:row>
    <x:row r="31">
      <x:c r="A31" t="inlineStr">
        <x:is>
          <x:t xml:space="preserve">ANV</x:t>
        </x:is>
      </x:c>
      <x:c r="B31" t="inlineStr">
        <x:is>
          <x:t xml:space="preserve">Dệt may/TS</x:t>
        </x:is>
      </x:c>
      <x:c r="C31" t="inlineStr">
        <x:is>
          <x:t xml:space="preserve">P/E (EPS chuẩn hóa)</x:t>
        </x:is>
      </x:c>
      <x:c r="D31" s="2" t="n">
        <x:v>17200</x:v>
      </x:c>
      <x:c r="E31" s="2" t="n">
        <x:v>20212</x:v>
      </x:c>
      <x:c r="F31" s="3" t="n">
        <x:v>17.5</x:v>
      </x:c>
      <x:c r="G31" t="inlineStr">
        <x:is>
          <x:t xml:space="preserve">HOLD</x:t>
        </x:is>
      </x:c>
      <x:c r="H31" t="inlineStr">
        <x:is>
          <x:t xml:space="preserve">Mô hình ngành - chưa golden test</x:t>
        </x:is>
      </x:c>
      <x:c r="I31" t="inlineStr">
        <x:is>
          <x:t xml:space="preserve"/>
        </x:is>
      </x:c>
    </x:row>
    <x:row r="32">
      <x:c r="A32" t="inlineStr">
        <x:is>
          <x:t xml:space="preserve">KDH</x:t>
        </x:is>
      </x:c>
      <x:c r="B32" t="inlineStr">
        <x:is>
          <x:t xml:space="preserve">BĐS</x:t>
        </x:is>
      </x:c>
      <x:c r="C32" t="inlineStr">
        <x:is>
          <x:t xml:space="preserve">RNAV (proxy)</x:t>
        </x:is>
      </x:c>
      <x:c r="D32" s="2" t="n">
        <x:v>18200</x:v>
      </x:c>
      <x:c r="E32" s="2" t="n">
        <x:v>21345</x:v>
      </x:c>
      <x:c r="F32" s="3" t="n">
        <x:v>17.3</x:v>
      </x:c>
      <x:c r="G32" t="inlineStr">
        <x:is>
          <x:t xml:space="preserve">HOLD</x:t>
        </x:is>
      </x:c>
      <x:c r="H32" s="4" t="inlineStr">
        <x:is>
          <x:t xml:space="preserve">Proxy - không khuyến nghị</x:t>
        </x:is>
      </x:c>
      <x:c r="I32" t="inlineStr">
        <x:is>
          <x:t xml:space="preserve">VALUATION_PROXY</x:t>
        </x:is>
      </x:c>
    </x:row>
    <x:row r="33">
      <x:c r="A33" t="inlineStr">
        <x:is>
          <x:t xml:space="preserve">VHM</x:t>
        </x:is>
      </x:c>
      <x:c r="B33" t="inlineStr">
        <x:is>
          <x:t xml:space="preserve">BĐS</x:t>
        </x:is>
      </x:c>
      <x:c r="C33" t="inlineStr">
        <x:is>
          <x:t xml:space="preserve">RNAV (proxy)</x:t>
        </x:is>
      </x:c>
      <x:c r="D33" s="2" t="n">
        <x:v>73000</x:v>
      </x:c>
      <x:c r="E33" s="2" t="n">
        <x:v>84873</x:v>
      </x:c>
      <x:c r="F33" s="3" t="n">
        <x:v>16.3</x:v>
      </x:c>
      <x:c r="G33" t="inlineStr">
        <x:is>
          <x:t xml:space="preserve">HOLD</x:t>
        </x:is>
      </x:c>
      <x:c r="H33" s="4" t="inlineStr">
        <x:is>
          <x:t xml:space="preserve">Proxy - không khuyến nghị</x:t>
        </x:is>
      </x:c>
      <x:c r="I33" t="inlineStr">
        <x:is>
          <x:t xml:space="preserve">VALUATION_PROXY</x:t>
        </x:is>
      </x:c>
    </x:row>
    <x:row r="34">
      <x:c r="A34" t="inlineStr">
        <x:is>
          <x:t xml:space="preserve">CTR</x:t>
        </x:is>
      </x:c>
      <x:c r="B34" t="inlineStr">
        <x:is>
          <x:t xml:space="preserve">Công nghệ</x:t>
        </x:is>
      </x:c>
      <x:c r="C34" t="inlineStr">
        <x:is>
          <x:t xml:space="preserve">DCF/FCFF</x:t>
        </x:is>
      </x:c>
      <x:c r="D34" s="2" t="n">
        <x:v>77000</x:v>
      </x:c>
      <x:c r="E34" s="2" t="n">
        <x:v>87451</x:v>
      </x:c>
      <x:c r="F34" s="3" t="n">
        <x:v>13.6</x:v>
      </x:c>
      <x:c r="G34" t="inlineStr">
        <x:is>
          <x:t xml:space="preserve">HOLD</x:t>
        </x:is>
      </x:c>
      <x:c r="H34" t="inlineStr">
        <x:is>
          <x:t xml:space="preserve">Mô hình ngành - chưa golden test</x:t>
        </x:is>
      </x:c>
      <x:c r="I34" t="inlineStr">
        <x:is>
          <x:t xml:space="preserve"/>
        </x:is>
      </x:c>
    </x:row>
    <x:row r="35">
      <x:c r="A35" t="inlineStr">
        <x:is>
          <x:t xml:space="preserve">VHC</x:t>
        </x:is>
      </x:c>
      <x:c r="B35" t="inlineStr">
        <x:is>
          <x:t xml:space="preserve">Dệt may/TS</x:t>
        </x:is>
      </x:c>
      <x:c r="C35" t="inlineStr">
        <x:is>
          <x:t xml:space="preserve">P/E (EPS chuẩn hóa)</x:t>
        </x:is>
      </x:c>
      <x:c r="D35" s="2" t="n">
        <x:v>52100</x:v>
      </x:c>
      <x:c r="E35" s="2" t="n">
        <x:v>57552</x:v>
      </x:c>
      <x:c r="F35" s="3" t="n">
        <x:v>10.5</x:v>
      </x:c>
      <x:c r="G35" t="inlineStr">
        <x:is>
          <x:t xml:space="preserve">HOLD</x:t>
        </x:is>
      </x:c>
      <x:c r="H35" t="inlineStr">
        <x:is>
          <x:t xml:space="preserve">Mô hình ngành - chưa golden test</x:t>
        </x:is>
      </x:c>
      <x:c r="I35" t="inlineStr">
        <x:is>
          <x:t xml:space="preserve"/>
        </x:is>
      </x:c>
    </x:row>
    <x:row r="36">
      <x:c r="A36" t="inlineStr">
        <x:is>
          <x:t xml:space="preserve">GAS</x:t>
        </x:is>
      </x:c>
      <x:c r="B36" t="inlineStr">
        <x:is>
          <x:t xml:space="preserve">Dầu khí</x:t>
        </x:is>
      </x:c>
      <x:c r="C36" t="inlineStr">
        <x:is>
          <x:t xml:space="preserve">DCF/FCFF</x:t>
        </x:is>
      </x:c>
      <x:c r="D36" s="2" t="n">
        <x:v>84200</x:v>
      </x:c>
      <x:c r="E36" s="2" t="n">
        <x:v>92493</x:v>
      </x:c>
      <x:c r="F36" s="3" t="n">
        <x:v>9.800000000000001</x:v>
      </x:c>
      <x:c r="G36" t="inlineStr">
        <x:is>
          <x:t xml:space="preserve">HOLD</x:t>
        </x:is>
      </x:c>
      <x:c r="H36" t="inlineStr">
        <x:is>
          <x:t xml:space="preserve">Mô hình ngành - chưa golden test</x:t>
        </x:is>
      </x:c>
      <x:c r="I36" t="inlineStr">
        <x:is>
          <x:t xml:space="preserve"/>
        </x:is>
      </x:c>
    </x:row>
    <x:row r="37">
      <x:c r="A37" t="inlineStr">
        <x:is>
          <x:t xml:space="preserve">POW</x:t>
        </x:is>
      </x:c>
      <x:c r="B37" t="inlineStr">
        <x:is>
          <x:t xml:space="preserve">Điện</x:t>
        </x:is>
      </x:c>
      <x:c r="C37" t="inlineStr">
        <x:is>
          <x:t xml:space="preserve">DCF/FCFF</x:t>
        </x:is>
      </x:c>
      <x:c r="D37" s="2" t="n">
        <x:v>13100</x:v>
      </x:c>
      <x:c r="E37" s="2" t="n">
        <x:v>14082</x:v>
      </x:c>
      <x:c r="F37" s="3" t="n">
        <x:v>7.5</x:v>
      </x:c>
      <x:c r="G37" t="inlineStr">
        <x:is>
          <x:t xml:space="preserve">HOLD</x:t>
        </x:is>
      </x:c>
      <x:c r="H37" t="inlineStr">
        <x:is>
          <x:t xml:space="preserve">Mô hình ngành - chưa golden test</x:t>
        </x:is>
      </x:c>
      <x:c r="I37" t="inlineStr">
        <x:is>
          <x:t xml:space="preserve">DDM_BLEND</x:t>
        </x:is>
      </x:c>
    </x:row>
    <x:row r="38">
      <x:c r="A38" t="inlineStr">
        <x:is>
          <x:t xml:space="preserve">DPM</x:t>
        </x:is>
      </x:c>
      <x:c r="B38" t="inlineStr">
        <x:is>
          <x:t xml:space="preserve">Hóa chất</x:t>
        </x:is>
      </x:c>
      <x:c r="C38" t="inlineStr">
        <x:is>
          <x:t xml:space="preserve">DCF/FCFF</x:t>
        </x:is>
      </x:c>
      <x:c r="D38" s="2" t="n">
        <x:v>22000</x:v>
      </x:c>
      <x:c r="E38" s="2" t="n">
        <x:v>23553</x:v>
      </x:c>
      <x:c r="F38" s="3" t="n">
        <x:v>7.1</x:v>
      </x:c>
      <x:c r="G38" t="inlineStr">
        <x:is>
          <x:t xml:space="preserve">HOLD</x:t>
        </x:is>
      </x:c>
      <x:c r="H38" t="inlineStr">
        <x:is>
          <x:t xml:space="preserve">Mô hình ngành - chưa golden test</x:t>
        </x:is>
      </x:c>
      <x:c r="I38" t="inlineStr">
        <x:is>
          <x:t xml:space="preserve"/>
        </x:is>
      </x:c>
    </x:row>
    <x:row r="39">
      <x:c r="A39" t="inlineStr">
        <x:is>
          <x:t xml:space="preserve">SSB</x:t>
        </x:is>
      </x:c>
      <x:c r="B39" t="inlineStr">
        <x:is>
          <x:t xml:space="preserve">NH</x:t>
        </x:is>
      </x:c>
      <x:c r="C39" t="inlineStr">
        <x:is>
          <x:t xml:space="preserve">Thu nhập thặng dư + P/B</x:t>
        </x:is>
      </x:c>
      <x:c r="D39" s="2" t="n">
        <x:v>17100</x:v>
      </x:c>
      <x:c r="E39" s="2" t="n">
        <x:v>17577</x:v>
      </x:c>
      <x:c r="F39" s="3" t="n">
        <x:v>2.8</x:v>
      </x:c>
      <x:c r="G39" t="inlineStr">
        <x:is>
          <x:t xml:space="preserve">HOLD</x:t>
        </x:is>
      </x:c>
      <x:c r="H39" t="inlineStr">
        <x:is>
          <x:t xml:space="preserve">Mô hình ngành - chưa golden test</x:t>
        </x:is>
      </x:c>
      <x:c r="I39" t="inlineStr">
        <x:is>
          <x:t xml:space="preserve"/>
        </x:is>
      </x:c>
    </x:row>
    <x:row r="40">
      <x:c r="A40" t="inlineStr">
        <x:is>
          <x:t xml:space="preserve">TCB</x:t>
        </x:is>
      </x:c>
      <x:c r="B40" t="inlineStr">
        <x:is>
          <x:t xml:space="preserve">NH</x:t>
        </x:is>
      </x:c>
      <x:c r="C40" t="inlineStr">
        <x:is>
          <x:t xml:space="preserve">Thu nhập thặng dư + P/B</x:t>
        </x:is>
      </x:c>
      <x:c r="D40" s="2" t="n">
        <x:v>33400</x:v>
      </x:c>
      <x:c r="E40" s="2" t="n">
        <x:v>34087</x:v>
      </x:c>
      <x:c r="F40" s="3" t="n">
        <x:v>2.1</x:v>
      </x:c>
      <x:c r="G40" t="inlineStr">
        <x:is>
          <x:t xml:space="preserve">HOLD</x:t>
        </x:is>
      </x:c>
      <x:c r="H40" t="inlineStr">
        <x:is>
          <x:t xml:space="preserve">Đã kiểm chứng</x:t>
        </x:is>
      </x:c>
      <x:c r="I40" t="inlineStr">
        <x:is>
          <x:t xml:space="preserve"/>
        </x:is>
      </x:c>
    </x:row>
    <x:row r="41">
      <x:c r="A41" t="inlineStr">
        <x:is>
          <x:t xml:space="preserve">VPB</x:t>
        </x:is>
      </x:c>
      <x:c r="B41" t="inlineStr">
        <x:is>
          <x:t xml:space="preserve">NH</x:t>
        </x:is>
      </x:c>
      <x:c r="C41" t="inlineStr">
        <x:is>
          <x:t xml:space="preserve">Thu nhập thặng dư + P/B</x:t>
        </x:is>
      </x:c>
      <x:c r="D41" s="2" t="n">
        <x:v>27800</x:v>
      </x:c>
      <x:c r="E41" s="2" t="n">
        <x:v>28271</x:v>
      </x:c>
      <x:c r="F41" s="3" t="n">
        <x:v>1.7</x:v>
      </x:c>
      <x:c r="G41" t="inlineStr">
        <x:is>
          <x:t xml:space="preserve">HOLD</x:t>
        </x:is>
      </x:c>
      <x:c r="H41" t="inlineStr">
        <x:is>
          <x:t xml:space="preserve">Mô hình ngành - chưa golden test</x:t>
        </x:is>
      </x:c>
      <x:c r="I41" t="inlineStr">
        <x:is>
          <x:t xml:space="preserve">CREDIT_GROWTH_CAPPED</x:t>
        </x:is>
      </x:c>
    </x:row>
    <x:row r="42">
      <x:c r="A42" t="inlineStr">
        <x:is>
          <x:t xml:space="preserve">REE</x:t>
        </x:is>
      </x:c>
      <x:c r="B42" t="inlineStr">
        <x:is>
          <x:t xml:space="preserve">Đa ngành</x:t>
        </x:is>
      </x:c>
      <x:c r="C42" t="inlineStr">
        <x:is>
          <x:t xml:space="preserve">SOTP (proxy)</x:t>
        </x:is>
      </x:c>
      <x:c r="D42" s="2" t="n">
        <x:v>45550</x:v>
      </x:c>
      <x:c r="E42" s="2" t="n">
        <x:v>44882</x:v>
      </x:c>
      <x:c r="F42" s="3" t="n">
        <x:v>-1.5</x:v>
      </x:c>
      <x:c r="G42" t="inlineStr">
        <x:is>
          <x:t xml:space="preserve">TRIM</x:t>
        </x:is>
      </x:c>
      <x:c r="H42" s="4" t="inlineStr">
        <x:is>
          <x:t xml:space="preserve">Proxy - không khuyến nghị</x:t>
        </x:is>
      </x:c>
      <x:c r="I42" t="inlineStr">
        <x:is>
          <x:t xml:space="preserve">VALUATION_PROXY</x:t>
        </x:is>
      </x:c>
    </x:row>
    <x:row r="43">
      <x:c r="A43" t="inlineStr">
        <x:is>
          <x:t xml:space="preserve">VNM</x:t>
        </x:is>
      </x:c>
      <x:c r="B43" t="inlineStr">
        <x:is>
          <x:t xml:space="preserve">Tiêu dùng</x:t>
        </x:is>
      </x:c>
      <x:c r="C43" t="inlineStr">
        <x:is>
          <x:t xml:space="preserve">DCF/FCFF</x:t>
        </x:is>
      </x:c>
      <x:c r="D43" s="2" t="n">
        <x:v>62300</x:v>
      </x:c>
      <x:c r="E43" s="2" t="n">
        <x:v>59907</x:v>
      </x:c>
      <x:c r="F43" s="3" t="n">
        <x:v>-3.8</x:v>
      </x:c>
      <x:c r="G43" t="inlineStr">
        <x:is>
          <x:t xml:space="preserve">TRIM</x:t>
        </x:is>
      </x:c>
      <x:c r="H43" t="inlineStr">
        <x:is>
          <x:t xml:space="preserve">Mô hình ngành - chưa golden test</x:t>
        </x:is>
      </x:c>
      <x:c r="I43" t="inlineStr">
        <x:is>
          <x:t xml:space="preserve"/>
        </x:is>
      </x:c>
    </x:row>
    <x:row r="44">
      <x:c r="A44" t="inlineStr">
        <x:is>
          <x:t xml:space="preserve">GEX</x:t>
        </x:is>
      </x:c>
      <x:c r="B44" t="inlineStr">
        <x:is>
          <x:t xml:space="preserve">Điện</x:t>
        </x:is>
      </x:c>
      <x:c r="C44" t="inlineStr">
        <x:is>
          <x:t xml:space="preserve">DCF/FCFF</x:t>
        </x:is>
      </x:c>
      <x:c r="D44" s="2" t="n">
        <x:v>26450</x:v>
      </x:c>
      <x:c r="E44" s="2" t="n">
        <x:v>24632</x:v>
      </x:c>
      <x:c r="F44" s="3" t="n">
        <x:v>-6.9</x:v>
      </x:c>
      <x:c r="G44" t="inlineStr">
        <x:is>
          <x:t xml:space="preserve">TRIM</x:t>
        </x:is>
      </x:c>
      <x:c r="H44" t="inlineStr">
        <x:is>
          <x:t xml:space="preserve">Mô hình ngành - chưa golden test</x:t>
        </x:is>
      </x:c>
      <x:c r="I44" t="inlineStr">
        <x:is>
          <x:t xml:space="preserve">DDM_BLEND</x:t>
        </x:is>
      </x:c>
    </x:row>
    <x:row r="45">
      <x:c r="A45" t="inlineStr">
        <x:is>
          <x:t xml:space="preserve">BMP</x:t>
        </x:is>
      </x:c>
      <x:c r="B45" t="inlineStr">
        <x:is>
          <x:t xml:space="preserve">Thép</x:t>
        </x:is>
      </x:c>
      <x:c r="C45" t="inlineStr">
        <x:is>
          <x:t xml:space="preserve">DCF/FCFF</x:t>
        </x:is>
      </x:c>
      <x:c r="D45" s="2" t="n">
        <x:v>144800</x:v>
      </x:c>
      <x:c r="E45" s="2" t="n">
        <x:v>133131</x:v>
      </x:c>
      <x:c r="F45" s="3" t="n">
        <x:v>-8.1</x:v>
      </x:c>
      <x:c r="G45" t="inlineStr">
        <x:is>
          <x:t xml:space="preserve">TRIM</x:t>
        </x:is>
      </x:c>
      <x:c r="H45" t="inlineStr">
        <x:is>
          <x:t xml:space="preserve">Mô hình ngành - chưa golden test</x:t>
        </x:is>
      </x:c>
      <x:c r="I45" t="inlineStr">
        <x:is>
          <x:t xml:space="preserve"/>
        </x:is>
      </x:c>
    </x:row>
    <x:row r="46">
      <x:c r="A46" t="inlineStr">
        <x:is>
          <x:t xml:space="preserve">HPG</x:t>
        </x:is>
      </x:c>
      <x:c r="B46" t="inlineStr">
        <x:is>
          <x:t xml:space="preserve">Thép</x:t>
        </x:is>
      </x:c>
      <x:c r="C46" t="inlineStr">
        <x:is>
          <x:t xml:space="preserve">DCF/FCFF</x:t>
        </x:is>
      </x:c>
      <x:c r="D46" s="2" t="n">
        <x:v>22100</x:v>
      </x:c>
      <x:c r="E46" s="2" t="n">
        <x:v>20110</x:v>
      </x:c>
      <x:c r="F46" s="3" t="n">
        <x:v>-9</x:v>
      </x:c>
      <x:c r="G46" t="inlineStr">
        <x:is>
          <x:t xml:space="preserve">TRIM</x:t>
        </x:is>
      </x:c>
      <x:c r="H46" t="inlineStr">
        <x:is>
          <x:t xml:space="preserve">Đã kiểm chứng</x:t>
        </x:is>
      </x:c>
      <x:c r="I46" t="inlineStr">
        <x:is>
          <x:t xml:space="preserve"/>
        </x:is>
      </x:c>
    </x:row>
    <x:row r="47">
      <x:c r="A47" t="inlineStr">
        <x:is>
          <x:t xml:space="preserve">PVD</x:t>
        </x:is>
      </x:c>
      <x:c r="B47" t="inlineStr">
        <x:is>
          <x:t xml:space="preserve">Dầu khí</x:t>
        </x:is>
      </x:c>
      <x:c r="C47" t="inlineStr">
        <x:is>
          <x:t xml:space="preserve">DCF/FCFF</x:t>
        </x:is>
      </x:c>
      <x:c r="D47" s="2" t="n">
        <x:v>19150</x:v>
      </x:c>
      <x:c r="E47" s="2" t="n">
        <x:v>17296</x:v>
      </x:c>
      <x:c r="F47" s="3" t="n">
        <x:v>-9.699999999999999</x:v>
      </x:c>
      <x:c r="G47" t="inlineStr">
        <x:is>
          <x:t xml:space="preserve">TRIM</x:t>
        </x:is>
      </x:c>
      <x:c r="H47" t="inlineStr">
        <x:is>
          <x:t xml:space="preserve">Đã kiểm chứng</x:t>
        </x:is>
      </x:c>
      <x:c r="I47" t="inlineStr">
        <x:is>
          <x:t xml:space="preserve"/>
        </x:is>
      </x:c>
    </x:row>
    <x:row r="48">
      <x:c r="A48" t="inlineStr">
        <x:is>
          <x:t xml:space="preserve">VCB</x:t>
        </x:is>
      </x:c>
      <x:c r="B48" t="inlineStr">
        <x:is>
          <x:t xml:space="preserve">NH</x:t>
        </x:is>
      </x:c>
      <x:c r="C48" t="inlineStr">
        <x:is>
          <x:t xml:space="preserve">Thu nhập thặng dư + P/B</x:t>
        </x:is>
      </x:c>
      <x:c r="D48" s="2" t="n">
        <x:v>60100</x:v>
      </x:c>
      <x:c r="E48" s="2" t="n">
        <x:v>52910</x:v>
      </x:c>
      <x:c r="F48" s="3" t="n">
        <x:v>-12</x:v>
      </x:c>
      <x:c r="G48" t="inlineStr">
        <x:is>
          <x:t xml:space="preserve">SELL</x:t>
        </x:is>
      </x:c>
      <x:c r="H48" t="inlineStr">
        <x:is>
          <x:t xml:space="preserve">Đã kiểm chứng</x:t>
        </x:is>
      </x:c>
      <x:c r="I48" t="inlineStr">
        <x:is>
          <x:t xml:space="preserve"/>
        </x:is>
      </x:c>
    </x:row>
    <x:row r="49">
      <x:c r="A49" t="inlineStr">
        <x:is>
          <x:t xml:space="preserve">SAB</x:t>
        </x:is>
      </x:c>
      <x:c r="B49" t="inlineStr">
        <x:is>
          <x:t xml:space="preserve">Tiêu dùng</x:t>
        </x:is>
      </x:c>
      <x:c r="C49" t="inlineStr">
        <x:is>
          <x:t xml:space="preserve">DCF/FCFF</x:t>
        </x:is>
      </x:c>
      <x:c r="D49" s="2" t="n">
        <x:v>45600</x:v>
      </x:c>
      <x:c r="E49" s="2" t="n">
        <x:v>39047</x:v>
      </x:c>
      <x:c r="F49" s="3" t="n">
        <x:v>-14.4</x:v>
      </x:c>
      <x:c r="G49" t="inlineStr">
        <x:is>
          <x:t xml:space="preserve">SELL</x:t>
        </x:is>
      </x:c>
      <x:c r="H49" t="inlineStr">
        <x:is>
          <x:t xml:space="preserve">Mô hình ngành - chưa golden test</x:t>
        </x:is>
      </x:c>
      <x:c r="I49" t="inlineStr">
        <x:is>
          <x:t xml:space="preserve"/>
        </x:is>
      </x:c>
    </x:row>
    <x:row r="50">
      <x:c r="A50" t="inlineStr">
        <x:is>
          <x:t xml:space="preserve">LPB</x:t>
        </x:is>
      </x:c>
      <x:c r="B50" t="inlineStr">
        <x:is>
          <x:t xml:space="preserve">NH</x:t>
        </x:is>
      </x:c>
      <x:c r="C50" t="inlineStr">
        <x:is>
          <x:t xml:space="preserve">Thu nhập thặng dư + P/B</x:t>
        </x:is>
      </x:c>
      <x:c r="D50" s="2" t="n">
        <x:v>49950</x:v>
      </x:c>
      <x:c r="E50" s="2" t="n">
        <x:v>41363</x:v>
      </x:c>
      <x:c r="F50" s="3" t="n">
        <x:v>-17.2</x:v>
      </x:c>
      <x:c r="G50" t="inlineStr">
        <x:is>
          <x:t xml:space="preserve">SELL</x:t>
        </x:is>
      </x:c>
      <x:c r="H50" t="inlineStr">
        <x:is>
          <x:t xml:space="preserve">Mô hình ngành - chưa golden test</x:t>
        </x:is>
      </x:c>
      <x:c r="I50" t="inlineStr">
        <x:is>
          <x:t xml:space="preserve"/>
        </x:is>
      </x:c>
    </x:row>
    <x:row r="51">
      <x:c r="A51" t="inlineStr">
        <x:is>
          <x:t xml:space="preserve">VRE</x:t>
        </x:is>
      </x:c>
      <x:c r="B51" t="inlineStr">
        <x:is>
          <x:t xml:space="preserve">BĐS</x:t>
        </x:is>
      </x:c>
      <x:c r="C51" t="inlineStr">
        <x:is>
          <x:t xml:space="preserve">DCF/FCFF</x:t>
        </x:is>
      </x:c>
      <x:c r="D51" s="2" t="n">
        <x:v>26100</x:v>
      </x:c>
      <x:c r="E51" s="2" t="n">
        <x:v>21560</x:v>
      </x:c>
      <x:c r="F51" s="3" t="n">
        <x:v>-17.4</x:v>
      </x:c>
      <x:c r="G51" t="inlineStr">
        <x:is>
          <x:t xml:space="preserve">SELL</x:t>
        </x:is>
      </x:c>
      <x:c r="H51" t="inlineStr">
        <x:is>
          <x:t xml:space="preserve">Đã kiểm chứng</x:t>
        </x:is>
      </x:c>
      <x:c r="I51" t="inlineStr">
        <x:is>
          <x:t xml:space="preserve"/>
        </x:is>
      </x:c>
    </x:row>
    <x:row r="52">
      <x:c r="A52" t="inlineStr">
        <x:is>
          <x:t xml:space="preserve">TCX</x:t>
        </x:is>
      </x:c>
      <x:c r="B52" t="inlineStr">
        <x:is>
          <x:t xml:space="preserve">CK</x:t>
        </x:is>
      </x:c>
      <x:c r="C52" t="inlineStr">
        <x:is>
          <x:t xml:space="preserve">Justified P/B</x:t>
        </x:is>
      </x:c>
      <x:c r="D52" s="2" t="n">
        <x:v>40800</x:v>
      </x:c>
      <x:c r="E52" s="2" t="n">
        <x:v>32767</x:v>
      </x:c>
      <x:c r="F52" s="3" t="n">
        <x:v>-19.7</x:v>
      </x:c>
      <x:c r="G52" t="inlineStr">
        <x:is>
          <x:t xml:space="preserve">SELL</x:t>
        </x:is>
      </x:c>
      <x:c r="H52" t="inlineStr">
        <x:is>
          <x:t xml:space="preserve">Mô hình ngành - chưa golden test</x:t>
        </x:is>
      </x:c>
      <x:c r="I52" t="inlineStr">
        <x:is>
          <x:t xml:space="preserve">SEC_TERMINAL_ROE_CLAMPED: mid-cycle 20.1% -&gt; 20.0%</x:t>
        </x:is>
      </x:c>
    </x:row>
    <x:row r="53">
      <x:c r="A53" t="inlineStr">
        <x:is>
          <x:t xml:space="preserve">VIX</x:t>
        </x:is>
      </x:c>
      <x:c r="B53" t="inlineStr">
        <x:is>
          <x:t xml:space="preserve">CK</x:t>
        </x:is>
      </x:c>
      <x:c r="C53" t="inlineStr">
        <x:is>
          <x:t xml:space="preserve">Justified P/B</x:t>
        </x:is>
      </x:c>
      <x:c r="D53" s="2" t="n">
        <x:v>14100</x:v>
      </x:c>
      <x:c r="E53" s="2" t="n">
        <x:v>11176</x:v>
      </x:c>
      <x:c r="F53" s="3" t="n">
        <x:v>-20.7</x:v>
      </x:c>
      <x:c r="G53" t="inlineStr">
        <x:is>
          <x:t xml:space="preserve">SELL</x:t>
        </x:is>
      </x:c>
      <x:c r="H53" t="inlineStr">
        <x:is>
          <x:t xml:space="preserve">Mô hình ngành - chưa golden test</x:t>
        </x:is>
      </x:c>
      <x:c r="I53" t="inlineStr">
        <x:is>
          <x:t xml:space="preserve">SEC_ROE_BELOW_COE: ROE bền vững 13.1% &lt; COE 14.9% → P/B hợp lý &lt; 1 (mô hình cho rằng công ty chưa tạo thêm giá trị)</x:t>
        </x:is>
      </x:c>
    </x:row>
    <x:row r="54">
      <x:c r="A54" t="inlineStr">
        <x:is>
          <x:t xml:space="preserve">DGW</x:t>
        </x:is>
      </x:c>
      <x:c r="B54" t="inlineStr">
        <x:is>
          <x:t xml:space="preserve">Bán lẻ</x:t>
        </x:is>
      </x:c>
      <x:c r="C54" t="inlineStr">
        <x:is>
          <x:t xml:space="preserve">DCF/FCFF</x:t>
        </x:is>
      </x:c>
      <x:c r="D54" s="2" t="n">
        <x:v>42200</x:v>
      </x:c>
      <x:c r="E54" s="2" t="n">
        <x:v>32578</x:v>
      </x:c>
      <x:c r="F54" s="3" t="n">
        <x:v>-22.8</x:v>
      </x:c>
      <x:c r="G54" t="inlineStr">
        <x:is>
          <x:t xml:space="preserve">SELL</x:t>
        </x:is>
      </x:c>
      <x:c r="H54" t="inlineStr">
        <x:is>
          <x:t xml:space="preserve">Mô hình ngành - chưa golden test</x:t>
        </x:is>
      </x:c>
      <x:c r="I54" t="inlineStr">
        <x:is>
          <x:t xml:space="preserve"/>
        </x:is>
      </x:c>
    </x:row>
    <x:row r="55">
      <x:c r="A55" t="inlineStr">
        <x:is>
          <x:t xml:space="preserve">EVF</x:t>
        </x:is>
      </x:c>
      <x:c r="B55" t="inlineStr">
        <x:is>
          <x:t xml:space="preserve">Tài chính</x:t>
        </x:is>
      </x:c>
      <x:c r="C55" t="inlineStr">
        <x:is>
          <x:t xml:space="preserve">Justified P/B</x:t>
        </x:is>
      </x:c>
      <x:c r="D55" s="2" t="n">
        <x:v>12400</x:v>
      </x:c>
      <x:c r="E55" s="2" t="n">
        <x:v>9117</x:v>
      </x:c>
      <x:c r="F55" s="3" t="n">
        <x:v>-26.5</x:v>
      </x:c>
      <x:c r="G55" t="inlineStr">
        <x:is>
          <x:t xml:space="preserve">SELL</x:t>
        </x:is>
      </x:c>
      <x:c r="H55" t="inlineStr">
        <x:is>
          <x:t xml:space="preserve">Mô hình ngành - chưa golden test</x:t>
        </x:is>
      </x:c>
      <x:c r="I55" t="inlineStr">
        <x:is>
          <x:t xml:space="preserve"/>
        </x:is>
      </x:c>
    </x:row>
    <x:row r="56">
      <x:c r="A56" t="inlineStr">
        <x:is>
          <x:t xml:space="preserve">PLX</x:t>
        </x:is>
      </x:c>
      <x:c r="B56" t="inlineStr">
        <x:is>
          <x:t xml:space="preserve">Dầu khí</x:t>
        </x:is>
      </x:c>
      <x:c r="C56" t="inlineStr">
        <x:is>
          <x:t xml:space="preserve">DCF/FCFF</x:t>
        </x:is>
      </x:c>
      <x:c r="D56" s="2" t="n">
        <x:v>36250</x:v>
      </x:c>
      <x:c r="E56" s="2" t="n">
        <x:v>26563</x:v>
      </x:c>
      <x:c r="F56" s="3" t="n">
        <x:v>-26.7</x:v>
      </x:c>
      <x:c r="G56" t="inlineStr">
        <x:is>
          <x:t xml:space="preserve">SELL</x:t>
        </x:is>
      </x:c>
      <x:c r="H56" t="inlineStr">
        <x:is>
          <x:t xml:space="preserve">Mô hình ngành - chưa golden test</x:t>
        </x:is>
      </x:c>
      <x:c r="I56" t="inlineStr">
        <x:is>
          <x:t xml:space="preserve"/>
        </x:is>
      </x:c>
    </x:row>
    <x:row r="57">
      <x:c r="A57" t="inlineStr">
        <x:is>
          <x:t xml:space="preserve">VND</x:t>
        </x:is>
      </x:c>
      <x:c r="B57" t="inlineStr">
        <x:is>
          <x:t xml:space="preserve">CK</x:t>
        </x:is>
      </x:c>
      <x:c r="C57" t="inlineStr">
        <x:is>
          <x:t xml:space="preserve">Justified P/B</x:t>
        </x:is>
      </x:c>
      <x:c r="D57" s="2" t="n">
        <x:v>16650</x:v>
      </x:c>
      <x:c r="E57" s="2" t="n">
        <x:v>11888</x:v>
      </x:c>
      <x:c r="F57" s="3" t="n">
        <x:v>-28.6</x:v>
      </x:c>
      <x:c r="G57" t="inlineStr">
        <x:is>
          <x:t xml:space="preserve">SELL</x:t>
        </x:is>
      </x:c>
      <x:c r="H57" t="inlineStr">
        <x:is>
          <x:t xml:space="preserve">Mô hình ngành - chưa golden test</x:t>
        </x:is>
      </x:c>
      <x:c r="I57" t="inlineStr">
        <x:is>
          <x:t xml:space="preserve">SEC_ROE_BELOW_COE: ROE bền vững 12.5% &lt; COE 14.0% → P/B hợp lý &lt; 1 (mô hình cho rằng công ty chưa tạo thêm giá trị)</x:t>
        </x:is>
      </x:c>
    </x:row>
    <x:row r="58">
      <x:c r="A58" t="inlineStr">
        <x:is>
          <x:t xml:space="preserve">HAG</x:t>
        </x:is>
      </x:c>
      <x:c r="B58" t="inlineStr">
        <x:is>
          <x:t xml:space="preserve">Cao su/NN</x:t>
        </x:is>
      </x:c>
      <x:c r="C58" t="inlineStr">
        <x:is>
          <x:t xml:space="preserve">DCF/FCFF</x:t>
        </x:is>
      </x:c>
      <x:c r="D58" s="2" t="n">
        <x:v>14200</x:v>
      </x:c>
      <x:c r="E58" s="2" t="n">
        <x:v>9876</x:v>
      </x:c>
      <x:c r="F58" s="3" t="n">
        <x:v>-30.5</x:v>
      </x:c>
      <x:c r="G58" t="inlineStr">
        <x:is>
          <x:t xml:space="preserve">SELL</x:t>
        </x:is>
      </x:c>
      <x:c r="H58" t="inlineStr">
        <x:is>
          <x:t xml:space="preserve">Mô hình ngành - chưa golden test</x:t>
        </x:is>
      </x:c>
      <x:c r="I58" t="inlineStr">
        <x:is>
          <x:t xml:space="preserve"/>
        </x:is>
      </x:c>
    </x:row>
    <x:row r="59">
      <x:c r="A59" t="inlineStr">
        <x:is>
          <x:t xml:space="preserve">MWG</x:t>
        </x:is>
      </x:c>
      <x:c r="B59" t="inlineStr">
        <x:is>
          <x:t xml:space="preserve">Bán lẻ</x:t>
        </x:is>
      </x:c>
      <x:c r="C59" t="inlineStr">
        <x:is>
          <x:t xml:space="preserve">DCF/FCFF</x:t>
        </x:is>
      </x:c>
      <x:c r="D59" s="2" t="n">
        <x:v>75000</x:v>
      </x:c>
      <x:c r="E59" s="2" t="n">
        <x:v>51762</x:v>
      </x:c>
      <x:c r="F59" s="3" t="n">
        <x:v>-31</x:v>
      </x:c>
      <x:c r="G59" t="inlineStr">
        <x:is>
          <x:t xml:space="preserve">SELL</x:t>
        </x:is>
      </x:c>
      <x:c r="H59" t="inlineStr">
        <x:is>
          <x:t xml:space="preserve">Đã kiểm chứng</x:t>
        </x:is>
      </x:c>
      <x:c r="I59" t="inlineStr">
        <x:is>
          <x:t xml:space="preserve"/>
        </x:is>
      </x:c>
    </x:row>
    <x:row r="60">
      <x:c r="A60" t="inlineStr">
        <x:is>
          <x:t xml:space="preserve">TAL</x:t>
        </x:is>
      </x:c>
      <x:c r="B60" t="inlineStr">
        <x:is>
          <x:t xml:space="preserve">BĐS</x:t>
        </x:is>
      </x:c>
      <x:c r="C60" t="inlineStr">
        <x:is>
          <x:t xml:space="preserve">RNAV (proxy)</x:t>
        </x:is>
      </x:c>
      <x:c r="D60" s="2" t="n">
        <x:v>24900</x:v>
      </x:c>
      <x:c r="E60" s="2" t="n">
        <x:v>16697</x:v>
      </x:c>
      <x:c r="F60" s="3" t="n">
        <x:v>-32.9</x:v>
      </x:c>
      <x:c r="G60" t="inlineStr">
        <x:is>
          <x:t xml:space="preserve">SELL</x:t>
        </x:is>
      </x:c>
      <x:c r="H60" s="4" t="inlineStr">
        <x:is>
          <x:t xml:space="preserve">Proxy - không khuyến nghị</x:t>
        </x:is>
      </x:c>
      <x:c r="I60" t="inlineStr">
        <x:is>
          <x:t xml:space="preserve">VALUATION_PROXY</x:t>
        </x:is>
      </x:c>
    </x:row>
    <x:row r="61">
      <x:c r="A61" t="inlineStr">
        <x:is>
          <x:t xml:space="preserve">SSI</x:t>
        </x:is>
      </x:c>
      <x:c r="B61" t="inlineStr">
        <x:is>
          <x:t xml:space="preserve">CK</x:t>
        </x:is>
      </x:c>
      <x:c r="C61" t="inlineStr">
        <x:is>
          <x:t xml:space="preserve">Justified P/B</x:t>
        </x:is>
      </x:c>
      <x:c r="D61" s="2" t="n">
        <x:v>21350</x:v>
      </x:c>
      <x:c r="E61" s="2" t="n">
        <x:v>13755</x:v>
      </x:c>
      <x:c r="F61" s="3" t="n">
        <x:v>-35.6</x:v>
      </x:c>
      <x:c r="G61" t="inlineStr">
        <x:is>
          <x:t xml:space="preserve">SELL</x:t>
        </x:is>
      </x:c>
      <x:c r="H61" t="inlineStr">
        <x:is>
          <x:t xml:space="preserve">Mô hình ngành - chưa golden test</x:t>
        </x:is>
      </x:c>
      <x:c r="I61" t="inlineStr">
        <x:is>
          <x:t xml:space="preserve">SEC_ROE_BELOW_COE: ROE bền vững 12.2% &lt; COE 13.8% → P/B hợp lý &lt; 1 (mô hình cho rằng công ty chưa tạo thêm giá trị)</x:t>
        </x:is>
      </x:c>
    </x:row>
    <x:row r="62">
      <x:c r="A62" t="inlineStr">
        <x:is>
          <x:t xml:space="preserve">VCG</x:t>
        </x:is>
      </x:c>
      <x:c r="B62" t="inlineStr">
        <x:is>
          <x:t xml:space="preserve">Xây dựng</x:t>
        </x:is>
      </x:c>
      <x:c r="C62" t="inlineStr">
        <x:is>
          <x:t xml:space="preserve">DCF/FCFF</x:t>
        </x:is>
      </x:c>
      <x:c r="D62" s="2" t="n">
        <x:v>16000</x:v>
      </x:c>
      <x:c r="E62" s="2" t="n">
        <x:v>10128</x:v>
      </x:c>
      <x:c r="F62" s="3" t="n">
        <x:v>-36.7</x:v>
      </x:c>
      <x:c r="G62" t="inlineStr">
        <x:is>
          <x:t xml:space="preserve">SELL</x:t>
        </x:is>
      </x:c>
      <x:c r="H62" t="inlineStr">
        <x:is>
          <x:t xml:space="preserve">Mô hình ngành - chưa golden test</x:t>
        </x:is>
      </x:c>
      <x:c r="I62" t="inlineStr">
        <x:is>
          <x:t xml:space="preserve"/>
        </x:is>
      </x:c>
    </x:row>
    <x:row r="63">
      <x:c r="A63" t="inlineStr">
        <x:is>
          <x:t xml:space="preserve">TCH</x:t>
        </x:is>
      </x:c>
      <x:c r="B63" t="inlineStr">
        <x:is>
          <x:t xml:space="preserve">Đa ngành</x:t>
        </x:is>
      </x:c>
      <x:c r="C63" t="inlineStr">
        <x:is>
          <x:t xml:space="preserve">SOTP (proxy)</x:t>
        </x:is>
      </x:c>
      <x:c r="D63" s="2" t="n">
        <x:v>13400</x:v>
      </x:c>
      <x:c r="E63" s="2" t="n">
        <x:v>8460</x:v>
      </x:c>
      <x:c r="F63" s="3" t="n">
        <x:v>-36.9</x:v>
      </x:c>
      <x:c r="G63" t="inlineStr">
        <x:is>
          <x:t xml:space="preserve">SELL</x:t>
        </x:is>
      </x:c>
      <x:c r="H63" s="4" t="inlineStr">
        <x:is>
          <x:t xml:space="preserve">Proxy - không khuyến nghị</x:t>
        </x:is>
      </x:c>
      <x:c r="I63" t="inlineStr">
        <x:is>
          <x:t xml:space="preserve">VALUATION_PROXY</x:t>
        </x:is>
      </x:c>
    </x:row>
    <x:row r="64">
      <x:c r="A64" t="inlineStr">
        <x:is>
          <x:t xml:space="preserve">CMG</x:t>
        </x:is>
      </x:c>
      <x:c r="B64" t="inlineStr">
        <x:is>
          <x:t xml:space="preserve">Công nghệ</x:t>
        </x:is>
      </x:c>
      <x:c r="C64" t="inlineStr">
        <x:is>
          <x:t xml:space="preserve">DCF/FCFF</x:t>
        </x:is>
      </x:c>
      <x:c r="D64" s="2" t="n">
        <x:v>24400</x:v>
      </x:c>
      <x:c r="E64" s="2" t="n">
        <x:v>15145</x:v>
      </x:c>
      <x:c r="F64" s="3" t="n">
        <x:v>-37.9</x:v>
      </x:c>
      <x:c r="G64" t="inlineStr">
        <x:is>
          <x:t xml:space="preserve">SELL</x:t>
        </x:is>
      </x:c>
      <x:c r="H64" t="inlineStr">
        <x:is>
          <x:t xml:space="preserve">Mô hình ngành - chưa golden test</x:t>
        </x:is>
      </x:c>
      <x:c r="I64" t="inlineStr">
        <x:is>
          <x:t xml:space="preserve"/>
        </x:is>
      </x:c>
    </x:row>
    <x:row r="65">
      <x:c r="A65" t="inlineStr">
        <x:is>
          <x:t xml:space="preserve">BCM</x:t>
        </x:is>
      </x:c>
      <x:c r="B65" t="inlineStr">
        <x:is>
          <x:t xml:space="preserve">KCN</x:t>
        </x:is>
      </x:c>
      <x:c r="C65" t="inlineStr">
        <x:is>
          <x:t xml:space="preserve">RNAV (proxy)</x:t>
        </x:is>
      </x:c>
      <x:c r="D65" s="2" t="n">
        <x:v>43350</x:v>
      </x:c>
      <x:c r="E65" s="2" t="n">
        <x:v>26519</x:v>
      </x:c>
      <x:c r="F65" s="3" t="n">
        <x:v>-38.8</x:v>
      </x:c>
      <x:c r="G65" t="inlineStr">
        <x:is>
          <x:t xml:space="preserve">SELL</x:t>
        </x:is>
      </x:c>
      <x:c r="H65" s="4" t="inlineStr">
        <x:is>
          <x:t xml:space="preserve">Proxy - không khuyến nghị</x:t>
        </x:is>
      </x:c>
      <x:c r="I65" t="inlineStr">
        <x:is>
          <x:t xml:space="preserve">VALUATION_PROXY</x:t>
        </x:is>
      </x:c>
    </x:row>
    <x:row r="66">
      <x:c r="A66" t="inlineStr">
        <x:is>
          <x:t xml:space="preserve">SIP</x:t>
        </x:is>
      </x:c>
      <x:c r="B66" t="inlineStr">
        <x:is>
          <x:t xml:space="preserve">KCN</x:t>
        </x:is>
      </x:c>
      <x:c r="C66" t="inlineStr">
        <x:is>
          <x:t xml:space="preserve">RNAV (proxy)</x:t>
        </x:is>
      </x:c>
      <x:c r="D66" s="2" t="n">
        <x:v>49450</x:v>
      </x:c>
      <x:c r="E66" s="2" t="n">
        <x:v>29037</x:v>
      </x:c>
      <x:c r="F66" s="3" t="n">
        <x:v>-41.3</x:v>
      </x:c>
      <x:c r="G66" t="inlineStr">
        <x:is>
          <x:t xml:space="preserve">SELL</x:t>
        </x:is>
      </x:c>
      <x:c r="H66" s="4" t="inlineStr">
        <x:is>
          <x:t xml:space="preserve">Proxy - không khuyến nghị</x:t>
        </x:is>
      </x:c>
      <x:c r="I66" t="inlineStr">
        <x:is>
          <x:t xml:space="preserve">VALUATION_PROXY</x:t>
        </x:is>
      </x:c>
    </x:row>
    <x:row r="67">
      <x:c r="A67" t="inlineStr">
        <x:is>
          <x:t xml:space="preserve">GEE</x:t>
        </x:is>
      </x:c>
      <x:c r="B67" t="inlineStr">
        <x:is>
          <x:t xml:space="preserve">Đa ngành</x:t>
        </x:is>
      </x:c>
      <x:c r="C67" t="inlineStr">
        <x:is>
          <x:t xml:space="preserve">SOTP (proxy)</x:t>
        </x:is>
      </x:c>
      <x:c r="D67" s="2" t="n">
        <x:v>64800</x:v>
      </x:c>
      <x:c r="E67" s="2" t="n">
        <x:v>36438</x:v>
      </x:c>
      <x:c r="F67" s="3" t="n">
        <x:v>-43.8</x:v>
      </x:c>
      <x:c r="G67" t="inlineStr">
        <x:is>
          <x:t xml:space="preserve">SELL</x:t>
        </x:is>
      </x:c>
      <x:c r="H67" s="4" t="inlineStr">
        <x:is>
          <x:t xml:space="preserve">Proxy - không khuyến nghị</x:t>
        </x:is>
      </x:c>
      <x:c r="I67" t="inlineStr">
        <x:is>
          <x:t xml:space="preserve">VALUATION_PROXY</x:t>
        </x:is>
      </x:c>
    </x:row>
    <x:row r="68">
      <x:c r="A68" t="inlineStr">
        <x:is>
          <x:t xml:space="preserve">MSN</x:t>
        </x:is>
      </x:c>
      <x:c r="B68" t="inlineStr">
        <x:is>
          <x:t xml:space="preserve">Đa ngành</x:t>
        </x:is>
      </x:c>
      <x:c r="C68" t="inlineStr">
        <x:is>
          <x:t xml:space="preserve">SOTP (proxy)</x:t>
        </x:is>
      </x:c>
      <x:c r="D68" s="2" t="n">
        <x:v>70200</x:v>
      </x:c>
      <x:c r="E68" s="2" t="n">
        <x:v>38158</x:v>
      </x:c>
      <x:c r="F68" s="3" t="n">
        <x:v>-45.6</x:v>
      </x:c>
      <x:c r="G68" t="inlineStr">
        <x:is>
          <x:t xml:space="preserve">SELL</x:t>
        </x:is>
      </x:c>
      <x:c r="H68" s="4" t="inlineStr">
        <x:is>
          <x:t xml:space="preserve">Proxy - không khuyến nghị</x:t>
        </x:is>
      </x:c>
      <x:c r="I68" t="inlineStr">
        <x:is>
          <x:t xml:space="preserve">VALUATION_PROXY</x:t>
        </x:is>
      </x:c>
    </x:row>
    <x:row r="69">
      <x:c r="A69" t="inlineStr">
        <x:is>
          <x:t xml:space="preserve">VCK</x:t>
        </x:is>
      </x:c>
      <x:c r="B69" t="inlineStr">
        <x:is>
          <x:t xml:space="preserve">CK</x:t>
        </x:is>
      </x:c>
      <x:c r="C69" t="inlineStr">
        <x:is>
          <x:t xml:space="preserve">Justified P/B</x:t>
        </x:is>
      </x:c>
      <x:c r="D69" s="2" t="n">
        <x:v>30450</x:v>
      </x:c>
      <x:c r="E69" s="2" t="n">
        <x:v>16415</x:v>
      </x:c>
      <x:c r="F69" s="3" t="n">
        <x:v>-46.1</x:v>
      </x:c>
      <x:c r="G69" t="inlineStr">
        <x:is>
          <x:t xml:space="preserve">SELL</x:t>
        </x:is>
      </x:c>
      <x:c r="H69" t="inlineStr">
        <x:is>
          <x:t xml:space="preserve">Mô hình ngành - chưa golden test</x:t>
        </x:is>
      </x:c>
      <x:c r="I69" t="inlineStr">
        <x:is>
          <x:t xml:space="preserve">FV_FAR_BELOW_PRICE: FV thấp hơn thị giá 46%</x:t>
        </x:is>
      </x:c>
    </x:row>
    <x:row r="70">
      <x:c r="A70" t="inlineStr">
        <x:is>
          <x:t xml:space="preserve">SBT</x:t>
        </x:is>
      </x:c>
      <x:c r="B70" t="inlineStr">
        <x:is>
          <x:t xml:space="preserve">Tiêu dùng</x:t>
        </x:is>
      </x:c>
      <x:c r="C70" t="inlineStr">
        <x:is>
          <x:t xml:space="preserve">DCF/FCFF</x:t>
        </x:is>
      </x:c>
      <x:c r="D70" s="2" t="n">
        <x:v>22850</x:v>
      </x:c>
      <x:c r="E70" s="2" t="n">
        <x:v>11940</x:v>
      </x:c>
      <x:c r="F70" s="3" t="n">
        <x:v>-47.7</x:v>
      </x:c>
      <x:c r="G70" t="inlineStr">
        <x:is>
          <x:t xml:space="preserve">SELL</x:t>
        </x:is>
      </x:c>
      <x:c r="H70" t="inlineStr">
        <x:is>
          <x:t xml:space="preserve">Mô hình ngành - chưa golden test</x:t>
        </x:is>
      </x:c>
      <x:c r="I70" t="inlineStr">
        <x:is>
          <x:t xml:space="preserve"/>
        </x:is>
      </x:c>
    </x:row>
    <x:row r="71">
      <x:c r="A71" t="inlineStr">
        <x:is>
          <x:t xml:space="preserve">VCI</x:t>
        </x:is>
      </x:c>
      <x:c r="B71" t="inlineStr">
        <x:is>
          <x:t xml:space="preserve">CK</x:t>
        </x:is>
      </x:c>
      <x:c r="C71" t="inlineStr">
        <x:is>
          <x:t xml:space="preserve">Justified P/B</x:t>
        </x:is>
      </x:c>
      <x:c r="D71" s="2" t="n">
        <x:v>22850</x:v>
      </x:c>
      <x:c r="E71" s="2" t="n">
        <x:v>11487</x:v>
      </x:c>
      <x:c r="F71" s="3" t="n">
        <x:v>-49.7</x:v>
      </x:c>
      <x:c r="G71" t="inlineStr">
        <x:is>
          <x:t xml:space="preserve">SELL</x:t>
        </x:is>
      </x:c>
      <x:c r="H71" t="inlineStr">
        <x:is>
          <x:t xml:space="preserve">Mô hình ngành - chưa golden test</x:t>
        </x:is>
      </x:c>
      <x:c r="I71" t="inlineStr">
        <x:is>
          <x:t xml:space="preserve">FV_FAR_BELOW_PRICE: FV thấp hơn thị giá 50%, SEC_ROE_BELOW_COE: ROE bền vững 11.1% &lt; COE 13.4% → P/B hợp lý &lt; 1 (mô hình cho rằng công ty chưa tạo thêm giá trị)</x:t>
        </x:is>
      </x:c>
    </x:row>
    <x:row r="72">
      <x:c r="A72" t="inlineStr">
        <x:is>
          <x:t xml:space="preserve">GVR</x:t>
        </x:is>
      </x:c>
      <x:c r="B72" t="inlineStr">
        <x:is>
          <x:t xml:space="preserve">Cao su/NN</x:t>
        </x:is>
      </x:c>
      <x:c r="C72" t="inlineStr">
        <x:is>
          <x:t xml:space="preserve">DCF/FCFF</x:t>
        </x:is>
      </x:c>
      <x:c r="D72" s="2" t="n">
        <x:v>32350</x:v>
      </x:c>
      <x:c r="E72" s="2" t="n">
        <x:v>15733</x:v>
      </x:c>
      <x:c r="F72" s="3" t="n">
        <x:v>-51.4</x:v>
      </x:c>
      <x:c r="G72" t="inlineStr">
        <x:is>
          <x:t xml:space="preserve">SELL</x:t>
        </x:is>
      </x:c>
      <x:c r="H72" t="inlineStr">
        <x:is>
          <x:t xml:space="preserve">Đã kiểm chứng</x:t>
        </x:is>
      </x:c>
      <x:c r="I72" t="inlineStr">
        <x:is>
          <x:t xml:space="preserve"/>
        </x:is>
      </x:c>
    </x:row>
    <x:row r="73">
      <x:c r="A73" t="inlineStr">
        <x:is>
          <x:t xml:space="preserve">CTD</x:t>
        </x:is>
      </x:c>
      <x:c r="B73" t="inlineStr">
        <x:is>
          <x:t xml:space="preserve">Xây dựng</x:t>
        </x:is>
      </x:c>
      <x:c r="C73" t="inlineStr">
        <x:is>
          <x:t xml:space="preserve">P/E (EPS chuẩn hóa)</x:t>
        </x:is>
      </x:c>
      <x:c r="D73" s="2" t="n">
        <x:v>62800</x:v>
      </x:c>
      <x:c r="E73" s="2" t="n">
        <x:v>29315</x:v>
      </x:c>
      <x:c r="F73" s="3" t="n">
        <x:v>-53.3</x:v>
      </x:c>
      <x:c r="G73" t="inlineStr">
        <x:is>
          <x:t xml:space="preserve">SELL</x:t>
        </x:is>
      </x:c>
      <x:c r="H73" t="inlineStr">
        <x:is>
          <x:t xml:space="preserve">Mô hình ngành - chưa golden test</x:t>
        </x:is>
      </x:c>
      <x:c r="I73" t="inlineStr">
        <x:is>
          <x:t xml:space="preserve">EARNINGS_NORMALIZED_CYCLICAL</x:t>
        </x:is>
      </x:c>
    </x:row>
    <x:row r="74">
      <x:c r="A74" t="inlineStr">
        <x:is>
          <x:t xml:space="preserve">MCH</x:t>
        </x:is>
      </x:c>
      <x:c r="B74" t="inlineStr">
        <x:is>
          <x:t xml:space="preserve">Tiêu dùng</x:t>
        </x:is>
      </x:c>
      <x:c r="C74" t="inlineStr">
        <x:is>
          <x:t xml:space="preserve">DCF/FCFF</x:t>
        </x:is>
      </x:c>
      <x:c r="D74" s="2" t="n">
        <x:v>143000</x:v>
      </x:c>
      <x:c r="E74" s="2" t="n">
        <x:v>65771</x:v>
      </x:c>
      <x:c r="F74" s="3" t="n">
        <x:v>-54</x:v>
      </x:c>
      <x:c r="G74" t="inlineStr">
        <x:is>
          <x:t xml:space="preserve">SELL</x:t>
        </x:is>
      </x:c>
      <x:c r="H74" t="inlineStr">
        <x:is>
          <x:t xml:space="preserve">Mô hình ngành - chưa golden test</x:t>
        </x:is>
      </x:c>
      <x:c r="I74" t="inlineStr">
        <x:is>
          <x:t xml:space="preserve"/>
        </x:is>
      </x:c>
    </x:row>
    <x:row r="75">
      <x:c r="A75" t="inlineStr">
        <x:is>
          <x:t xml:space="preserve">VTP</x:t>
        </x:is>
      </x:c>
      <x:c r="B75" t="inlineStr">
        <x:is>
          <x:t xml:space="preserve">Công nghệ</x:t>
        </x:is>
      </x:c>
      <x:c r="C75" t="inlineStr">
        <x:is>
          <x:t xml:space="preserve">DCF/FCFF</x:t>
        </x:is>
      </x:c>
      <x:c r="D75" s="2" t="n">
        <x:v>53500</x:v>
      </x:c>
      <x:c r="E75" s="2" t="n">
        <x:v>23159</x:v>
      </x:c>
      <x:c r="F75" s="3" t="n">
        <x:v>-56.7</x:v>
      </x:c>
      <x:c r="G75" t="inlineStr">
        <x:is>
          <x:t xml:space="preserve">SELL</x:t>
        </x:is>
      </x:c>
      <x:c r="H75" t="inlineStr">
        <x:is>
          <x:t xml:space="preserve">Mô hình ngành - chưa golden test</x:t>
        </x:is>
      </x:c>
      <x:c r="I75" t="inlineStr">
        <x:is>
          <x:t xml:space="preserve"/>
        </x:is>
      </x:c>
    </x:row>
    <x:row r="76">
      <x:c r="A76" t="inlineStr">
        <x:is>
          <x:t xml:space="preserve">BSR</x:t>
        </x:is>
      </x:c>
      <x:c r="B76" t="inlineStr">
        <x:is>
          <x:t xml:space="preserve">Dầu khí</x:t>
        </x:is>
      </x:c>
      <x:c r="C76" t="inlineStr">
        <x:is>
          <x:t xml:space="preserve">EV/EBITDA (chuẩn hóa)</x:t>
        </x:is>
      </x:c>
      <x:c r="D76" s="2" t="n">
        <x:v>26600</x:v>
      </x:c>
      <x:c r="E76" s="2" t="n">
        <x:v>11329</x:v>
      </x:c>
      <x:c r="F76" s="3" t="n">
        <x:v>-57.4</x:v>
      </x:c>
      <x:c r="G76" t="inlineStr">
        <x:is>
          <x:t xml:space="preserve">SELL</x:t>
        </x:is>
      </x:c>
      <x:c r="H76" t="inlineStr">
        <x:is>
          <x:t xml:space="preserve">Mô hình ngành - chưa golden test</x:t>
        </x:is>
      </x:c>
      <x:c r="I76" t="inlineStr">
        <x:is>
          <x:t xml:space="preserve"/>
        </x:is>
      </x:c>
    </x:row>
    <x:row r="77">
      <x:c r="A77" t="inlineStr">
        <x:is>
          <x:t xml:space="preserve">BSI</x:t>
        </x:is>
      </x:c>
      <x:c r="B77" t="inlineStr">
        <x:is>
          <x:t xml:space="preserve">CK</x:t>
        </x:is>
      </x:c>
      <x:c r="C77" t="inlineStr">
        <x:is>
          <x:t xml:space="preserve">Justified P/B</x:t>
        </x:is>
      </x:c>
      <x:c r="D77" s="2" t="n">
        <x:v>29200</x:v>
      </x:c>
      <x:c r="E77" s="2" t="n">
        <x:v>12232</x:v>
      </x:c>
      <x:c r="F77" s="3" t="n">
        <x:v>-58.1</x:v>
      </x:c>
      <x:c r="G77" t="inlineStr">
        <x:is>
          <x:t xml:space="preserve">SELL</x:t>
        </x:is>
      </x:c>
      <x:c r="H77" t="inlineStr">
        <x:is>
          <x:t xml:space="preserve">Mô hình ngành - chưa golden test</x:t>
        </x:is>
      </x:c>
      <x:c r="I77" t="inlineStr">
        <x:is>
          <x:t xml:space="preserve">SEC_PB_FAR_BELOW_MARKET: P/B mục tiêu 0.62x chỉ bằng 45% P/B thị trường 1.38x, FV_FAR_BELOW_PRICE: FV thấp hơn thị giá 58%, SEC_ROE_BELOW_COE: ROE bền vững 8.9% &lt; COE 13.2% → P/B hợp lý &lt; 1 (mô hình cho rằng công ty chưa tạo thêm giá trị)</x:t>
        </x:is>
      </x:c>
    </x:row>
    <x:row r="78">
      <x:c r="A78" t="inlineStr">
        <x:is>
          <x:t xml:space="preserve">PHR</x:t>
        </x:is>
      </x:c>
      <x:c r="B78" t="inlineStr">
        <x:is>
          <x:t xml:space="preserve">Cao su/NN</x:t>
        </x:is>
      </x:c>
      <x:c r="C78" t="inlineStr">
        <x:is>
          <x:t xml:space="preserve">DCF/FCFF</x:t>
        </x:is>
      </x:c>
      <x:c r="D78" s="2" t="n">
        <x:v>61700</x:v>
      </x:c>
      <x:c r="E78" s="2" t="n">
        <x:v>25159</x:v>
      </x:c>
      <x:c r="F78" s="3" t="n">
        <x:v>-59.2</x:v>
      </x:c>
      <x:c r="G78" t="inlineStr">
        <x:is>
          <x:t xml:space="preserve">SELL</x:t>
        </x:is>
      </x:c>
      <x:c r="H78" t="inlineStr">
        <x:is>
          <x:t xml:space="preserve">Mô hình ngành - chưa golden test</x:t>
        </x:is>
      </x:c>
      <x:c r="I78" t="inlineStr">
        <x:is>
          <x:t xml:space="preserve"/>
        </x:is>
      </x:c>
    </x:row>
    <x:row r="79">
      <x:c r="A79" t="inlineStr">
        <x:is>
          <x:t xml:space="preserve">GMD</x:t>
        </x:is>
      </x:c>
      <x:c r="B79" t="inlineStr">
        <x:is>
          <x:t xml:space="preserve">Cảng</x:t>
        </x:is>
      </x:c>
      <x:c r="C79" t="inlineStr">
        <x:is>
          <x:t xml:space="preserve">DCF/FCFF</x:t>
        </x:is>
      </x:c>
      <x:c r="D79" s="2" t="n">
        <x:v>79500</x:v>
      </x:c>
      <x:c r="E79" s="2" t="n">
        <x:v>32240</x:v>
      </x:c>
      <x:c r="F79" s="3" t="n">
        <x:v>-59.4</x:v>
      </x:c>
      <x:c r="G79" t="inlineStr">
        <x:is>
          <x:t xml:space="preserve">SELL</x:t>
        </x:is>
      </x:c>
      <x:c r="H79" t="inlineStr">
        <x:is>
          <x:t xml:space="preserve">Mô hình ngành - chưa golden test</x:t>
        </x:is>
      </x:c>
      <x:c r="I79" t="inlineStr">
        <x:is>
          <x:t xml:space="preserve"/>
        </x:is>
      </x:c>
    </x:row>
    <x:row r="80">
      <x:c r="A80" t="inlineStr">
        <x:is>
          <x:t xml:space="preserve">HCM</x:t>
        </x:is>
      </x:c>
      <x:c r="B80" t="inlineStr">
        <x:is>
          <x:t xml:space="preserve">CK</x:t>
        </x:is>
      </x:c>
      <x:c r="C80" t="inlineStr">
        <x:is>
          <x:t xml:space="preserve">Justified P/B</x:t>
        </x:is>
      </x:c>
      <x:c r="D80" s="2" t="n">
        <x:v>26050</x:v>
      </x:c>
      <x:c r="E80" s="2" t="n">
        <x:v>10244</x:v>
      </x:c>
      <x:c r="F80" s="3" t="n">
        <x:v>-60.7</x:v>
      </x:c>
      <x:c r="G80" t="inlineStr">
        <x:is>
          <x:t xml:space="preserve">SELL</x:t>
        </x:is>
      </x:c>
      <x:c r="H80" s="5" t="inlineStr">
        <x:is>
          <x:t xml:space="preserve">Cần kiểm tra</x:t>
        </x:is>
      </x:c>
      <x:c r="I80" t="inlineStr">
        <x:is>
          <x:t xml:space="preserve">SEC_PB_FAR_BELOW_MARKET: P/B mục tiêu 0.79x chỉ bằng 41% P/B thị trường 1.92x, FV_FAR_BELOW_PRICE: FV thấp hơn thị giá 61%, SEC_ROE_BELOW_COE: ROE bền vững 11.1% &lt; COE 13.6% → P/B hợp lý &lt; 1 (mô hình cho rằng công ty chưa tạo thêm giá trị), DOWNSIDE_EXTREME_REVIEW</x:t>
        </x:is>
      </x:c>
    </x:row>
    <x:row r="81">
      <x:c r="A81" t="inlineStr">
        <x:is>
          <x:t xml:space="preserve">BVH</x:t>
        </x:is>
      </x:c>
      <x:c r="B81" t="inlineStr">
        <x:is>
          <x:t xml:space="preserve">BH</x:t>
        </x:is>
      </x:c>
      <x:c r="C81" t="inlineStr">
        <x:is>
          <x:t xml:space="preserve">Justified P/B</x:t>
        </x:is>
      </x:c>
      <x:c r="D81" s="2" t="n">
        <x:v>64000</x:v>
      </x:c>
      <x:c r="E81" s="2" t="n">
        <x:v>25069</x:v>
      </x:c>
      <x:c r="F81" s="3" t="n">
        <x:v>-60.8</x:v>
      </x:c>
      <x:c r="G81" t="inlineStr">
        <x:is>
          <x:t xml:space="preserve">SELL</x:t>
        </x:is>
      </x:c>
      <x:c r="H81" s="5" t="inlineStr">
        <x:is>
          <x:t xml:space="preserve">Cần kiểm tra</x:t>
        </x:is>
      </x:c>
      <x:c r="I81" t="inlineStr">
        <x:is>
          <x:t xml:space="preserve">INS_PB_FAR_BELOW_MARKET: P/B mục tiêu 0.71x chỉ bằng 41% P/B thị trường 1.74x, FV_FAR_BELOW_PRICE: FV thấp hơn thị giá 61%, DOWNSIDE_EXTREME_REVIEW</x:t>
        </x:is>
      </x:c>
    </x:row>
    <x:row r="82">
      <x:c r="A82" t="inlineStr">
        <x:is>
          <x:t xml:space="preserve">CTS</x:t>
        </x:is>
      </x:c>
      <x:c r="B82" t="inlineStr">
        <x:is>
          <x:t xml:space="preserve">CK</x:t>
        </x:is>
      </x:c>
      <x:c r="C82" t="inlineStr">
        <x:is>
          <x:t xml:space="preserve">Justified P/B</x:t>
        </x:is>
      </x:c>
      <x:c r="D82" s="2" t="n">
        <x:v>23300</x:v>
      </x:c>
      <x:c r="E82" s="2" t="n">
        <x:v>8787</x:v>
      </x:c>
      <x:c r="F82" s="3" t="n">
        <x:v>-62.3</x:v>
      </x:c>
      <x:c r="G82" t="inlineStr">
        <x:is>
          <x:t xml:space="preserve">SELL</x:t>
        </x:is>
      </x:c>
      <x:c r="H82" s="5" t="inlineStr">
        <x:is>
          <x:t xml:space="preserve">Cần kiểm tra</x:t>
        </x:is>
      </x:c>
      <x:c r="I82" t="inlineStr">
        <x:is>
          <x:t xml:space="preserve">SEC_PB_FAR_BELOW_MARKET: P/B mục tiêu 0.68x chỉ bằng 39% P/B thị trường 1.73x, FV_FAR_BELOW_PRICE: FV thấp hơn thị giá 62%, SEC_ROE_BELOW_COE: ROE bền vững 10.2% &lt; COE 14.0% → P/B hợp lý &lt; 1 (mô hình cho rằng công ty chưa tạo thêm giá trị), DOWNSIDE_EXTREME_REVIEW</x:t>
        </x:is>
      </x:c>
    </x:row>
    <x:row r="83">
      <x:c r="A83" t="inlineStr">
        <x:is>
          <x:t xml:space="preserve">KOS</x:t>
        </x:is>
      </x:c>
      <x:c r="B83" t="inlineStr">
        <x:is>
          <x:t xml:space="preserve">BĐS</x:t>
        </x:is>
      </x:c>
      <x:c r="C83" t="inlineStr">
        <x:is>
          <x:t xml:space="preserve">RNAV (proxy)</x:t>
        </x:is>
      </x:c>
      <x:c r="D83" s="2" t="n">
        <x:v>34100</x:v>
      </x:c>
      <x:c r="E83" s="2" t="n">
        <x:v>12773</x:v>
      </x:c>
      <x:c r="F83" s="3" t="n">
        <x:v>-62.5</x:v>
      </x:c>
      <x:c r="G83" t="inlineStr">
        <x:is>
          <x:t xml:space="preserve">SELL</x:t>
        </x:is>
      </x:c>
      <x:c r="H83" s="4" t="inlineStr">
        <x:is>
          <x:t xml:space="preserve">Proxy - không khuyến nghị</x:t>
        </x:is>
      </x:c>
      <x:c r="I83" t="inlineStr">
        <x:is>
          <x:t xml:space="preserve">VALUATION_PROXY, DOWNSIDE_EXTREME_REVIEW</x:t>
        </x:is>
      </x:c>
    </x:row>
    <x:row r="84">
      <x:c r="A84" t="inlineStr">
        <x:is>
          <x:t xml:space="preserve">FTS</x:t>
        </x:is>
      </x:c>
      <x:c r="B84" t="inlineStr">
        <x:is>
          <x:t xml:space="preserve">CK</x:t>
        </x:is>
      </x:c>
      <x:c r="C84" t="inlineStr">
        <x:is>
          <x:t xml:space="preserve">Justified P/B</x:t>
        </x:is>
      </x:c>
      <x:c r="D84" s="2" t="n">
        <x:v>22750</x:v>
      </x:c>
      <x:c r="E84" s="2" t="n">
        <x:v>8211</x:v>
      </x:c>
      <x:c r="F84" s="3" t="n">
        <x:v>-63.9</x:v>
      </x:c>
      <x:c r="G84" t="inlineStr">
        <x:is>
          <x:t xml:space="preserve">SELL</x:t>
        </x:is>
      </x:c>
      <x:c r="H84" s="5" t="inlineStr">
        <x:is>
          <x:t xml:space="preserve">Cần kiểm tra</x:t>
        </x:is>
      </x:c>
      <x:c r="I84" t="inlineStr">
        <x:is>
          <x:t xml:space="preserve">SEC_PB_FAR_BELOW_MARKET: P/B mục tiêu 0.74x chỉ bằng 38% P/B thị trường 1.96x, FV_FAR_BELOW_PRICE: FV thấp hơn thị giá 64%, SEC_ROE_BELOW_COE: ROE bền vững 10.3% &lt; COE 13.2% → P/B hợp lý &lt; 1 (mô hình cho rằng công ty chưa tạo thêm giá trị), DOWNSIDE_EXTREME_REVIEW</x:t>
        </x:is>
      </x:c>
    </x:row>
    <x:row r="85">
      <x:c r="A85" t="inlineStr">
        <x:is>
          <x:t xml:space="preserve">FRT</x:t>
        </x:is>
      </x:c>
      <x:c r="B85" t="inlineStr">
        <x:is>
          <x:t xml:space="preserve">Bán lẻ</x:t>
        </x:is>
      </x:c>
      <x:c r="C85" t="inlineStr">
        <x:is>
          <x:t xml:space="preserve">DCF/FCFF</x:t>
        </x:is>
      </x:c>
      <x:c r="D85" s="2" t="n">
        <x:v>145900</x:v>
      </x:c>
      <x:c r="E85" s="2" t="n">
        <x:v>51984</x:v>
      </x:c>
      <x:c r="F85" s="3" t="n">
        <x:v>-64.40000000000001</x:v>
      </x:c>
      <x:c r="G85" t="inlineStr">
        <x:is>
          <x:t xml:space="preserve">SELL</x:t>
        </x:is>
      </x:c>
      <x:c r="H85" s="5" t="inlineStr">
        <x:is>
          <x:t xml:space="preserve">Cần kiểm tra</x:t>
        </x:is>
      </x:c>
      <x:c r="I85" t="inlineStr">
        <x:is>
          <x:t xml:space="preserve">DOWNSIDE_EXTREME_REVIEW</x:t>
        </x:is>
      </x:c>
    </x:row>
    <x:row r="86">
      <x:c r="A86" t="inlineStr">
        <x:is>
          <x:t xml:space="preserve">VPI</x:t>
        </x:is>
      </x:c>
      <x:c r="B86" t="inlineStr">
        <x:is>
          <x:t xml:space="preserve">BĐS</x:t>
        </x:is>
      </x:c>
      <x:c r="C86" t="inlineStr">
        <x:is>
          <x:t xml:space="preserve">RNAV (proxy)</x:t>
        </x:is>
      </x:c>
      <x:c r="D86" s="2" t="n">
        <x:v>68100</x:v>
      </x:c>
      <x:c r="E86" s="2" t="n">
        <x:v>21932</x:v>
      </x:c>
      <x:c r="F86" s="3" t="n">
        <x:v>-67.8</x:v>
      </x:c>
      <x:c r="G86" t="inlineStr">
        <x:is>
          <x:t xml:space="preserve">SELL</x:t>
        </x:is>
      </x:c>
      <x:c r="H86" s="4" t="inlineStr">
        <x:is>
          <x:t xml:space="preserve">Proxy - không khuyến nghị</x:t>
        </x:is>
      </x:c>
      <x:c r="I86" t="inlineStr">
        <x:is>
          <x:t xml:space="preserve">VALUATION_PROXY, DOWNSIDE_EXTREME_REVIEW</x:t>
        </x:is>
      </x:c>
    </x:row>
    <x:row r="87">
      <x:c r="A87" t="inlineStr">
        <x:is>
          <x:t xml:space="preserve">STB</x:t>
        </x:is>
      </x:c>
      <x:c r="B87" t="inlineStr">
        <x:is>
          <x:t xml:space="preserve">NH</x:t>
        </x:is>
      </x:c>
      <x:c r="C87" t="inlineStr">
        <x:is>
          <x:t xml:space="preserve">Thu nhập thặng dư + P/B</x:t>
        </x:is>
      </x:c>
      <x:c r="D87" s="2" t="n">
        <x:v>75500</x:v>
      </x:c>
      <x:c r="E87" s="2" t="n">
        <x:v>23172</x:v>
      </x:c>
      <x:c r="F87" s="3" t="n">
        <x:v>-69.3</x:v>
      </x:c>
      <x:c r="G87" t="inlineStr">
        <x:is>
          <x:t xml:space="preserve">SELL</x:t>
        </x:is>
      </x:c>
      <x:c r="H87" s="5" t="inlineStr">
        <x:is>
          <x:t xml:space="preserve">Cần kiểm tra</x:t>
        </x:is>
      </x:c>
      <x:c r="I87" t="inlineStr">
        <x:is>
          <x:t xml:space="preserve">DOWNSIDE_EXTREME_REVIEW</x:t>
        </x:is>
      </x:c>
    </x:row>
    <x:row r="88">
      <x:c r="A88" t="inlineStr">
        <x:is>
          <x:t xml:space="preserve">KDC</x:t>
        </x:is>
      </x:c>
      <x:c r="B88" t="inlineStr">
        <x:is>
          <x:t xml:space="preserve">Tiêu dùng</x:t>
        </x:is>
      </x:c>
      <x:c r="C88" t="inlineStr">
        <x:is>
          <x:t xml:space="preserve">DCF/FCFF</x:t>
        </x:is>
      </x:c>
      <x:c r="D88" s="2" t="n">
        <x:v>51900</x:v>
      </x:c>
      <x:c r="E88" s="2" t="n">
        <x:v>15632</x:v>
      </x:c>
      <x:c r="F88" s="3" t="n">
        <x:v>-69.90000000000001</x:v>
      </x:c>
      <x:c r="G88" t="inlineStr">
        <x:is>
          <x:t xml:space="preserve">SELL</x:t>
        </x:is>
      </x:c>
      <x:c r="H88" s="5" t="inlineStr">
        <x:is>
          <x:t xml:space="preserve">Cần kiểm tra</x:t>
        </x:is>
      </x:c>
      <x:c r="I88" t="inlineStr">
        <x:is>
          <x:t xml:space="preserve">DOWNSIDE_EXTREME_REVIEW</x:t>
        </x:is>
      </x:c>
    </x:row>
    <x:row r="89">
      <x:c r="A89" t="inlineStr">
        <x:is>
          <x:t xml:space="preserve">VPX</x:t>
        </x:is>
      </x:c>
      <x:c r="B89" t="inlineStr">
        <x:is>
          <x:t xml:space="preserve">CK</x:t>
        </x:is>
      </x:c>
      <x:c r="C89" t="inlineStr">
        <x:is>
          <x:t xml:space="preserve">Justified P/B</x:t>
        </x:is>
      </x:c>
      <x:c r="D89" s="2" t="n">
        <x:v>26250</x:v>
      </x:c>
      <x:c r="E89" s="2" t="n">
        <x:v>7308</x:v>
      </x:c>
      <x:c r="F89" s="3" t="n">
        <x:v>-72.2</x:v>
      </x:c>
      <x:c r="G89" t="inlineStr">
        <x:is>
          <x:t xml:space="preserve">SELL</x:t>
        </x:is>
      </x:c>
      <x:c r="H89" s="5" t="inlineStr">
        <x:is>
          <x:t xml:space="preserve">Cần kiểm tra</x:t>
        </x:is>
      </x:c>
      <x:c r="I89" t="inlineStr">
        <x:is>
          <x:t xml:space="preserve">SEC_PB_FAR_BELOW_MARKET: P/B mục tiêu 0.40x chỉ bằng 29% P/B thị trường 1.38x, FV_FAR_BELOW_PRICE: FV thấp hơn thị giá 72%, SEC_ROE_BELOW_COE: ROE bền vững 5.6% &lt; COE 11.2% → P/B hợp lý &lt; 1 (mô hình cho rằng công ty chưa tạo thêm giá trị), DOWNSIDE_EXTREME_REVIEW</x:t>
        </x:is>
      </x:c>
    </x:row>
    <x:row r="90">
      <x:c r="A90" t="inlineStr">
        <x:is>
          <x:t xml:space="preserve">SJS</x:t>
        </x:is>
      </x:c>
      <x:c r="B90" t="inlineStr">
        <x:is>
          <x:t xml:space="preserve">BĐS</x:t>
        </x:is>
      </x:c>
      <x:c r="C90" t="inlineStr">
        <x:is>
          <x:t xml:space="preserve">RNAV (proxy)</x:t>
        </x:is>
      </x:c>
      <x:c r="D90" s="2" t="n">
        <x:v>56200</x:v>
      </x:c>
      <x:c r="E90" s="2" t="n">
        <x:v>15505</x:v>
      </x:c>
      <x:c r="F90" s="3" t="n">
        <x:v>-72.40000000000001</x:v>
      </x:c>
      <x:c r="G90" t="inlineStr">
        <x:is>
          <x:t xml:space="preserve">SELL</x:t>
        </x:is>
      </x:c>
      <x:c r="H90" s="4" t="inlineStr">
        <x:is>
          <x:t xml:space="preserve">Proxy - không khuyến nghị</x:t>
        </x:is>
      </x:c>
      <x:c r="I90" t="inlineStr">
        <x:is>
          <x:t xml:space="preserve">VALUATION_PROXY, DOWNSIDE_EXTREME_REVIEW</x:t>
        </x:is>
      </x:c>
    </x:row>
    <x:row r="91">
      <x:c r="A91" t="inlineStr">
        <x:is>
          <x:t xml:space="preserve">EIB</x:t>
        </x:is>
      </x:c>
      <x:c r="B91" t="inlineStr">
        <x:is>
          <x:t xml:space="preserve">NH</x:t>
        </x:is>
      </x:c>
      <x:c r="C91" t="inlineStr">
        <x:is>
          <x:t xml:space="preserve">Thu nhập thặng dư + P/B</x:t>
        </x:is>
      </x:c>
      <x:c r="D91" s="2" t="n">
        <x:v>17300</x:v>
      </x:c>
      <x:c r="E91" s="2" t="n">
        <x:v>3118</x:v>
      </x:c>
      <x:c r="F91" s="3" t="n">
        <x:v>-82</x:v>
      </x:c>
      <x:c r="G91" t="inlineStr">
        <x:is>
          <x:t xml:space="preserve">SELL</x:t>
        </x:is>
      </x:c>
      <x:c r="H91" s="5" t="inlineStr">
        <x:is>
          <x:t xml:space="preserve">Cần kiểm tra</x:t>
        </x:is>
      </x:c>
      <x:c r="I91" t="inlineStr">
        <x:is>
          <x:t xml:space="preserve">DOWNSIDE_EXTREME_REVIEW, CREDIT_GROWTH_CAPPED</x:t>
        </x:is>
      </x:c>
    </x:row>
    <x:row r="92">
      <x:c r="A92" t="inlineStr">
        <x:is>
          <x:t xml:space="preserve">DSE</x:t>
        </x:is>
      </x:c>
      <x:c r="B92" t="inlineStr">
        <x:is>
          <x:t xml:space="preserve">CK</x:t>
        </x:is>
      </x:c>
      <x:c r="C92" t="inlineStr">
        <x:is>
          <x:t xml:space="preserve">Justified P/B</x:t>
        </x:is>
      </x:c>
      <x:c r="D92" s="2" t="n">
        <x:v>23100</x:v>
      </x:c>
      <x:c r="E92" s="2" t="n">
        <x:v>3456</x:v>
      </x:c>
      <x:c r="F92" s="3" t="n">
        <x:v>-85</x:v>
      </x:c>
      <x:c r="G92" t="inlineStr">
        <x:is>
          <x:t xml:space="preserve">SELL</x:t>
        </x:is>
      </x:c>
      <x:c r="H92" s="5" t="inlineStr">
        <x:is>
          <x:t xml:space="preserve">Cần kiểm tra</x:t>
        </x:is>
      </x:c>
      <x:c r="I92" t="inlineStr">
        <x:is>
          <x:t xml:space="preserve">SEC_TERMINAL_ROE_CLAMPED: mid-cycle 4.9% -&gt; 5.0%, SEC_PB_FAR_BELOW_MARKET: P/B mục tiêu 0.30x chỉ bằng 16% P/B thị trường 1.82x, FV_FAR_BELOW_PRICE: FV thấp hơn thị giá 85%, SEC_ROE_BELOW_COE: ROE bền vững 5.0% &lt; COE 12.0% → P/B hợp lý &lt; 1 (mô hình cho rằng công ty chưa tạo thêm giá trị), DOWNSIDE_EXTREME_REVIEW</x:t>
        </x:is>
      </x:c>
    </x:row>
    <x:row r="93">
      <x:c r="A93" t="inlineStr">
        <x:is>
          <x:t xml:space="preserve">VSC</x:t>
        </x:is>
      </x:c>
      <x:c r="B93" t="inlineStr">
        <x:is>
          <x:t xml:space="preserve">Cảng</x:t>
        </x:is>
      </x:c>
      <x:c r="C93" t="inlineStr">
        <x:is>
          <x:t xml:space="preserve">DCF/FCFF</x:t>
        </x:is>
      </x:c>
      <x:c r="D93" s="2" t="n">
        <x:v>14700</x:v>
      </x:c>
      <x:c r="E93" s="2" t="n">
        <x:v>1935</x:v>
      </x:c>
      <x:c r="F93" s="3" t="n">
        <x:v>-86.8</x:v>
      </x:c>
      <x:c r="G93" t="inlineStr">
        <x:is>
          <x:t xml:space="preserve">SELL</x:t>
        </x:is>
      </x:c>
      <x:c r="H93" s="5" t="inlineStr">
        <x:is>
          <x:t xml:space="preserve">Cần kiểm tra</x:t>
        </x:is>
      </x:c>
      <x:c r="I93" t="inlineStr">
        <x:is>
          <x:t xml:space="preserve">DOWNSIDE_EXTREME_REVIEW</x:t>
        </x:is>
      </x:c>
    </x:row>
    <x:row r="94">
      <x:c r="A94" t="inlineStr">
        <x:is>
          <x:t xml:space="preserve">VPL</x:t>
        </x:is>
      </x:c>
      <x:c r="B94" t="inlineStr">
        <x:is>
          <x:t xml:space="preserve">Du lịch</x:t>
        </x:is>
      </x:c>
      <x:c r="C94" t="inlineStr">
        <x:is>
          <x:t xml:space="preserve">DCF/FCFF</x:t>
        </x:is>
      </x:c>
      <x:c r="D94" s="2" t="n">
        <x:v>77600</x:v>
      </x:c>
      <x:c r="E94" s="2" t="n">
        <x:v>6279</x:v>
      </x:c>
      <x:c r="F94" s="3" t="n">
        <x:v>-91.90000000000001</x:v>
      </x:c>
      <x:c r="G94" t="inlineStr">
        <x:is>
          <x:t xml:space="preserve">SELL</x:t>
        </x:is>
      </x:c>
      <x:c r="H94" s="5" t="inlineStr">
        <x:is>
          <x:t xml:space="preserve">Cần kiểm tra</x:t>
        </x:is>
      </x:c>
      <x:c r="I94" t="inlineStr">
        <x:is>
          <x:t xml:space="preserve">DOWNSIDE_EXTREME_REVIEW</x:t>
        </x:is>
      </x:c>
    </x:row>
    <x:row r="95">
      <x:c r="A95" t="inlineStr">
        <x:is>
          <x:t xml:space="preserve">BAF</x:t>
        </x:is>
      </x:c>
      <x:c r="B95" t="inlineStr">
        <x:is>
          <x:t xml:space="preserve">Cao su/NN</x:t>
        </x:is>
      </x:c>
      <x:c r="C95" t="inlineStr">
        <x:is>
          <x:t xml:space="preserve">DCF/FCFF</x:t>
        </x:is>
      </x:c>
      <x:c r="D95" s="2" t="n">
        <x:v>32600</x:v>
      </x:c>
      <x:c r="E95" s="2" t="inlineStr">
        <x:is>
          <x:t xml:space="preserve"/>
        </x:is>
      </x:c>
      <x:c r="F95" s="3" t="inlineStr">
        <x:is>
          <x:t xml:space="preserve"/>
        </x:is>
      </x:c>
      <x:c r="G95" t="inlineStr">
        <x:is>
          <x:t xml:space="preserve">KHÔNG XẾP HẠNG</x:t>
        </x:is>
      </x:c>
      <x:c r="H95" s="6" t="inlineStr">
        <x:is>
          <x:t xml:space="preserve">Không định giá</x:t>
        </x:is>
      </x:c>
      <x:c r="I95" t="inlineStr">
        <x:is>
          <x:t xml:space="preserve">NEGATIVE_EQUITY_VALUE_DCF, DOWNSIDE_EXTREME_REVIEW, NOT_RATEABLE</x:t>
        </x:is>
      </x:c>
    </x:row>
    <x:row r="96">
      <x:c r="A96" t="inlineStr">
        <x:is>
          <x:t xml:space="preserve">CII</x:t>
        </x:is>
      </x:c>
      <x:c r="B96" t="inlineStr">
        <x:is>
          <x:t xml:space="preserve">Xây dựng</x:t>
        </x:is>
      </x:c>
      <x:c r="C96" t="inlineStr">
        <x:is>
          <x:t xml:space="preserve">DCF/FCFF</x:t>
        </x:is>
      </x:c>
      <x:c r="D96" s="2" t="n">
        <x:v>14700</x:v>
      </x:c>
      <x:c r="E96" s="2" t="inlineStr">
        <x:is>
          <x:t xml:space="preserve"/>
        </x:is>
      </x:c>
      <x:c r="F96" s="3" t="inlineStr">
        <x:is>
          <x:t xml:space="preserve"/>
        </x:is>
      </x:c>
      <x:c r="G96" t="inlineStr">
        <x:is>
          <x:t xml:space="preserve">KHÔNG XẾP HẠNG</x:t>
        </x:is>
      </x:c>
      <x:c r="H96" s="6" t="inlineStr">
        <x:is>
          <x:t xml:space="preserve">Không định giá</x:t>
        </x:is>
      </x:c>
      <x:c r="I96" t="inlineStr">
        <x:is>
          <x:t xml:space="preserve">NEGATIVE_EQUITY_VALUE_DCF, DOWNSIDE_EXTREME_REVIEW, NOT_RATEABLE</x:t>
        </x:is>
      </x:c>
    </x:row>
    <x:row r="97">
      <x:c r="A97" t="inlineStr">
        <x:is>
          <x:t xml:space="preserve">HSG</x:t>
        </x:is>
      </x:c>
      <x:c r="B97" t="inlineStr">
        <x:is>
          <x:t xml:space="preserve">Thép</x:t>
        </x:is>
      </x:c>
      <x:c r="C97" t="inlineStr">
        <x:is>
          <x:t xml:space="preserve">DCF/FCFF</x:t>
        </x:is>
      </x:c>
      <x:c r="D97" s="2" t="n">
        <x:v>10900</x:v>
      </x:c>
      <x:c r="E97" s="2" t="inlineStr">
        <x:is>
          <x:t xml:space="preserve"/>
        </x:is>
      </x:c>
      <x:c r="F97" s="3" t="inlineStr">
        <x:is>
          <x:t xml:space="preserve"/>
        </x:is>
      </x:c>
      <x:c r="G97" t="inlineStr">
        <x:is>
          <x:t xml:space="preserve">KHÔNG XẾP HẠNG</x:t>
        </x:is>
      </x:c>
      <x:c r="H97" s="6" t="inlineStr">
        <x:is>
          <x:t xml:space="preserve">Không định giá</x:t>
        </x:is>
      </x:c>
      <x:c r="I97" t="inlineStr">
        <x:is>
          <x:t xml:space="preserve">NEGATIVE_EQUITY_VALUE_DCF, DOWNSIDE_EXTREME_REVIEW, NOT_RATEABLE</x:t>
        </x:is>
      </x:c>
    </x:row>
    <x:row r="98">
      <x:c r="A98" t="inlineStr">
        <x:is>
          <x:t xml:space="preserve">NKG</x:t>
        </x:is>
      </x:c>
      <x:c r="B98" t="inlineStr">
        <x:is>
          <x:t xml:space="preserve">Thép</x:t>
        </x:is>
      </x:c>
      <x:c r="C98" t="inlineStr">
        <x:is>
          <x:t xml:space="preserve">DCF/FCFF</x:t>
        </x:is>
      </x:c>
      <x:c r="D98" s="2" t="n">
        <x:v>10950</x:v>
      </x:c>
      <x:c r="E98" s="2" t="inlineStr">
        <x:is>
          <x:t xml:space="preserve"/>
        </x:is>
      </x:c>
      <x:c r="F98" s="3" t="inlineStr">
        <x:is>
          <x:t xml:space="preserve"/>
        </x:is>
      </x:c>
      <x:c r="G98" t="inlineStr">
        <x:is>
          <x:t xml:space="preserve">KHÔNG XẾP HẠNG</x:t>
        </x:is>
      </x:c>
      <x:c r="H98" s="6" t="inlineStr">
        <x:is>
          <x:t xml:space="preserve">Không định giá</x:t>
        </x:is>
      </x:c>
      <x:c r="I98" t="inlineStr">
        <x:is>
          <x:t xml:space="preserve">NEGATIVE_EQUITY_VALUE_DCF, DOWNSIDE_EXTREME_REVIEW, NOT_RATEABLE</x:t>
        </x:is>
      </x:c>
    </x:row>
    <x:row r="99">
      <x:c r="A99" t="inlineStr">
        <x:is>
          <x:t xml:space="preserve">PAN</x:t>
        </x:is>
      </x:c>
      <x:c r="B99" t="inlineStr">
        <x:is>
          <x:t xml:space="preserve">Đa ngành</x:t>
        </x:is>
      </x:c>
      <x:c r="C99" t="inlineStr">
        <x:is>
          <x:t xml:space="preserve">SOTP (proxy)</x:t>
        </x:is>
      </x:c>
      <x:c r="D99" s="2" t="n">
        <x:v>19550</x:v>
      </x:c>
      <x:c r="E99" s="2" t="inlineStr">
        <x:is>
          <x:t xml:space="preserve"/>
        </x:is>
      </x:c>
      <x:c r="F99" s="3" t="inlineStr">
        <x:is>
          <x:t xml:space="preserve"/>
        </x:is>
      </x:c>
      <x:c r="G99" t="inlineStr">
        <x:is>
          <x:t xml:space="preserve">KHÔNG XẾP HẠNG</x:t>
        </x:is>
      </x:c>
      <x:c r="H99" s="6" t="inlineStr">
        <x:is>
          <x:t xml:space="preserve">Không định giá</x:t>
        </x:is>
      </x:c>
      <x:c r="I99" t="inlineStr">
        <x:is>
          <x:t xml:space="preserve">VALUATION_PROXY, PROXY_IMPLAUSIBLE: proxy SOTP lệch +102% so thị giá (ngưỡng ±50%) — proxy sổ sách/lợi nhuận không mô tả được cấu trúc tập đoàn này. Cần khai báo cổ phần công ty con trong config/sotp_holdings.yaml., NOT_RATED, NOT_RATEABLE</x:t>
        </x:is>
      </x:c>
    </x:row>
    <x:row r="100">
      <x:c r="A100" t="inlineStr">
        <x:is>
          <x:t xml:space="preserve">VIC</x:t>
        </x:is>
      </x:c>
      <x:c r="B100" t="inlineStr">
        <x:is>
          <x:t xml:space="preserve">Đa ngành</x:t>
        </x:is>
      </x:c>
      <x:c r="C100" t="inlineStr">
        <x:is>
          <x:t xml:space="preserve">SOTP (proxy)</x:t>
        </x:is>
      </x:c>
      <x:c r="D100" s="2" t="n">
        <x:v>236000</x:v>
      </x:c>
      <x:c r="E100" s="2" t="inlineStr">
        <x:is>
          <x:t xml:space="preserve"/>
        </x:is>
      </x:c>
      <x:c r="F100" s="3" t="inlineStr">
        <x:is>
          <x:t xml:space="preserve"/>
        </x:is>
      </x:c>
      <x:c r="G100" t="inlineStr">
        <x:is>
          <x:t xml:space="preserve">KHÔNG XẾP HẠNG</x:t>
        </x:is>
      </x:c>
      <x:c r="H100" s="6" t="inlineStr">
        <x:is>
          <x:t xml:space="preserve">Không định giá</x:t>
        </x:is>
      </x:c>
      <x:c r="I100" t="inlineStr">
        <x:is>
          <x:t xml:space="preserve">VALUATION_PROXY, PROXY_IMPLAUSIBLE: proxy SOTP lệch -93% so thị giá (ngưỡng ±50%) — proxy sổ sách/lợi nhuận không mô tả được cấu trúc tập đoàn này. Cần khai báo cổ phần công ty con trong config/sotp_holdings.yaml., NOT_RATED, DOWNSIDE_EXTREME_REVIEW, NOT_RATEABLE</x:t>
        </x:is>
      </x:c>
    </x:row>
    <x:row r="101">
      <x:c r="A101" t="inlineStr">
        <x:is>
          <x:t xml:space="preserve">VJC</x:t>
        </x:is>
      </x:c>
      <x:c r="B101" t="inlineStr">
        <x:is>
          <x:t xml:space="preserve">Hàng không</x:t>
        </x:is>
      </x:c>
      <x:c r="C101" t="inlineStr">
        <x:is>
          <x:t xml:space="preserve">EV/EBITDA (chuẩn hóa)</x:t>
        </x:is>
      </x:c>
      <x:c r="D101" s="2" t="n">
        <x:v>125000</x:v>
      </x:c>
      <x:c r="E101" s="2" t="inlineStr">
        <x:is>
          <x:t xml:space="preserve"/>
        </x:is>
      </x:c>
      <x:c r="F101" s="3" t="inlineStr">
        <x:is>
          <x:t xml:space="preserve"/>
        </x:is>
      </x:c>
      <x:c r="G101" t="inlineStr">
        <x:is>
          <x:t xml:space="preserve">KHÔNG XẾP HẠNG</x:t>
        </x:is>
      </x:c>
      <x:c r="H101" s="6" t="inlineStr">
        <x:is>
          <x:t xml:space="preserve">Không định giá</x:t>
        </x:is>
      </x:c>
      <x:c r="I101" t="inlineStr">
        <x:is>
          <x:t xml:space="preserve">NEGATIVE_EQUITY_VALUE_EV_EBITDA, DOWNSIDE_EXTREME_REVIEW, NOT_RATEABLE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9" customWidth="1"/>
    <x:col min="3" max="3" width="18" customWidth="1"/>
    <x:col min="4" max="4" width="12" customWidth="1"/>
    <x:col min="5" max="5" width="25" customWidth="1"/>
  </x:cols>
  <x:sheetData>
    <x:row r="1">
      <x:c r="A1" s="1" t="inlineStr">
        <x:is>
          <x:t xml:space="preserve">Mã</x:t>
        </x:is>
      </x:c>
      <x:c r="B1" s="1" t="inlineStr">
        <x:is>
          <x:t xml:space="preserve">Ngày giá mới nhất</x:t>
        </x:is>
      </x:c>
      <x:c r="C1" s="1" t="inlineStr">
        <x:is>
          <x:t xml:space="preserve">Kỳ BCTC mới nhất</x:t>
        </x:is>
      </x:c>
      <x:c r="D1" s="1" t="inlineStr">
        <x:is>
          <x:t xml:space="preserve">Nguồn BCTC</x:t>
        </x:is>
      </x:c>
      <x:c r="E1" s="1" t="inlineStr">
        <x:is>
          <x:t xml:space="preserve">Số dòng có published_at</x:t>
        </x:is>
      </x:c>
    </x:row>
    <x:row r="2">
      <x:c r="A2" t="inlineStr">
        <x:is>
          <x:t xml:space="preserve">ACB</x:t>
        </x:is>
      </x:c>
      <x:c r="B2" s="7" t="n">
        <x:v>46262</x:v>
      </x:c>
      <x:c r="C2" t="inlineStr">
        <x:is>
          <x:t xml:space="preserve">2026Q2</x:t>
        </x:is>
      </x:c>
      <x:c r="D2" t="inlineStr">
        <x:is>
          <x:t xml:space="preserve">vnstock</x:t>
        </x:is>
      </x:c>
      <x:c r="E2" t="n">
        <x:v>0</x:v>
      </x:c>
    </x:row>
    <x:row r="3">
      <x:c r="A3" t="inlineStr">
        <x:is>
          <x:t xml:space="preserve">ANV</x:t>
        </x:is>
      </x:c>
      <x:c r="B3" s="7" t="n">
        <x:v>46262</x:v>
      </x:c>
      <x:c r="C3" t="inlineStr">
        <x:is>
          <x:t xml:space="preserve">2026Q2</x:t>
        </x:is>
      </x:c>
      <x:c r="D3" t="inlineStr">
        <x:is>
          <x:t xml:space="preserve">vnstock</x:t>
        </x:is>
      </x:c>
      <x:c r="E3" t="n">
        <x:v>0</x:v>
      </x:c>
    </x:row>
    <x:row r="4">
      <x:c r="A4" t="inlineStr">
        <x:is>
          <x:t xml:space="preserve">BAF</x:t>
        </x:is>
      </x:c>
      <x:c r="B4" s="7" t="n">
        <x:v>46262</x:v>
      </x:c>
      <x:c r="C4" t="inlineStr">
        <x:is>
          <x:t xml:space="preserve">2026Q2</x:t>
        </x:is>
      </x:c>
      <x:c r="D4" t="inlineStr">
        <x:is>
          <x:t xml:space="preserve">vnstock</x:t>
        </x:is>
      </x:c>
      <x:c r="E4" t="n">
        <x:v>0</x:v>
      </x:c>
    </x:row>
    <x:row r="5">
      <x:c r="A5" t="inlineStr">
        <x:is>
          <x:t xml:space="preserve">BCM</x:t>
        </x:is>
      </x:c>
      <x:c r="B5" s="7" t="n">
        <x:v>46262</x:v>
      </x:c>
      <x:c r="C5" t="inlineStr">
        <x:is>
          <x:t xml:space="preserve">2026Q2</x:t>
        </x:is>
      </x:c>
      <x:c r="D5" t="inlineStr">
        <x:is>
          <x:t xml:space="preserve">vnstock</x:t>
        </x:is>
      </x:c>
      <x:c r="E5" t="n">
        <x:v>0</x:v>
      </x:c>
    </x:row>
    <x:row r="6">
      <x:c r="A6" t="inlineStr">
        <x:is>
          <x:t xml:space="preserve">BID</x:t>
        </x:is>
      </x:c>
      <x:c r="B6" s="7" t="n">
        <x:v>46262</x:v>
      </x:c>
      <x:c r="C6" t="inlineStr">
        <x:is>
          <x:t xml:space="preserve">2026Q2</x:t>
        </x:is>
      </x:c>
      <x:c r="D6" t="inlineStr">
        <x:is>
          <x:t xml:space="preserve">vnstock</x:t>
        </x:is>
      </x:c>
      <x:c r="E6" t="n">
        <x:v>0</x:v>
      </x:c>
    </x:row>
    <x:row r="7">
      <x:c r="A7" t="inlineStr">
        <x:is>
          <x:t xml:space="preserve">BMP</x:t>
        </x:is>
      </x:c>
      <x:c r="B7" s="7" t="n">
        <x:v>46262</x:v>
      </x:c>
      <x:c r="C7" t="inlineStr">
        <x:is>
          <x:t xml:space="preserve">2026Q2</x:t>
        </x:is>
      </x:c>
      <x:c r="D7" t="inlineStr">
        <x:is>
          <x:t xml:space="preserve">vnstock</x:t>
        </x:is>
      </x:c>
      <x:c r="E7" t="n">
        <x:v>0</x:v>
      </x:c>
    </x:row>
    <x:row r="8">
      <x:c r="A8" t="inlineStr">
        <x:is>
          <x:t xml:space="preserve">BSI</x:t>
        </x:is>
      </x:c>
      <x:c r="B8" s="7" t="n">
        <x:v>46262</x:v>
      </x:c>
      <x:c r="C8" t="inlineStr">
        <x:is>
          <x:t xml:space="preserve">2026Q2</x:t>
        </x:is>
      </x:c>
      <x:c r="D8" t="inlineStr">
        <x:is>
          <x:t xml:space="preserve">vnstock</x:t>
        </x:is>
      </x:c>
      <x:c r="E8" t="n">
        <x:v>0</x:v>
      </x:c>
    </x:row>
    <x:row r="9">
      <x:c r="A9" t="inlineStr">
        <x:is>
          <x:t xml:space="preserve">BSR</x:t>
        </x:is>
      </x:c>
      <x:c r="B9" s="7" t="n">
        <x:v>46262</x:v>
      </x:c>
      <x:c r="C9" t="inlineStr">
        <x:is>
          <x:t xml:space="preserve">2026Q2</x:t>
        </x:is>
      </x:c>
      <x:c r="D9" t="inlineStr">
        <x:is>
          <x:t xml:space="preserve">vnstock</x:t>
        </x:is>
      </x:c>
      <x:c r="E9" t="n">
        <x:v>0</x:v>
      </x:c>
    </x:row>
    <x:row r="10">
      <x:c r="A10" t="inlineStr">
        <x:is>
          <x:t xml:space="preserve">BVH</x:t>
        </x:is>
      </x:c>
      <x:c r="B10" s="7" t="n">
        <x:v>46262</x:v>
      </x:c>
      <x:c r="C10" t="inlineStr">
        <x:is>
          <x:t xml:space="preserve">2026Q2</x:t>
        </x:is>
      </x:c>
      <x:c r="D10" t="inlineStr">
        <x:is>
          <x:t xml:space="preserve">vnstock</x:t>
        </x:is>
      </x:c>
      <x:c r="E10" t="n">
        <x:v>0</x:v>
      </x:c>
    </x:row>
    <x:row r="11">
      <x:c r="A11" t="inlineStr">
        <x:is>
          <x:t xml:space="preserve">BWE</x:t>
        </x:is>
      </x:c>
      <x:c r="B11" s="7" t="n">
        <x:v>46262</x:v>
      </x:c>
      <x:c r="C11" t="inlineStr">
        <x:is>
          <x:t xml:space="preserve">2026Q2</x:t>
        </x:is>
      </x:c>
      <x:c r="D11" t="inlineStr">
        <x:is>
          <x:t xml:space="preserve">vnstock</x:t>
        </x:is>
      </x:c>
      <x:c r="E11" t="n">
        <x:v>0</x:v>
      </x:c>
    </x:row>
    <x:row r="12">
      <x:c r="A12" t="inlineStr">
        <x:is>
          <x:t xml:space="preserve">CII</x:t>
        </x:is>
      </x:c>
      <x:c r="B12" s="7" t="n">
        <x:v>46262</x:v>
      </x:c>
      <x:c r="C12" t="inlineStr">
        <x:is>
          <x:t xml:space="preserve">2026Q2</x:t>
        </x:is>
      </x:c>
      <x:c r="D12" t="inlineStr">
        <x:is>
          <x:t xml:space="preserve">vnstock</x:t>
        </x:is>
      </x:c>
      <x:c r="E12" t="n">
        <x:v>0</x:v>
      </x:c>
    </x:row>
    <x:row r="13">
      <x:c r="A13" t="inlineStr">
        <x:is>
          <x:t xml:space="preserve">CMG</x:t>
        </x:is>
      </x:c>
      <x:c r="B13" s="7" t="n">
        <x:v>46262</x:v>
      </x:c>
      <x:c r="C13" t="inlineStr">
        <x:is>
          <x:t xml:space="preserve">2026Q2</x:t>
        </x:is>
      </x:c>
      <x:c r="D13" t="inlineStr">
        <x:is>
          <x:t xml:space="preserve">vnstock</x:t>
        </x:is>
      </x:c>
      <x:c r="E13" t="n">
        <x:v>0</x:v>
      </x:c>
    </x:row>
    <x:row r="14">
      <x:c r="A14" t="inlineStr">
        <x:is>
          <x:t xml:space="preserve">CTD</x:t>
        </x:is>
      </x:c>
      <x:c r="B14" s="7" t="n">
        <x:v>46262</x:v>
      </x:c>
      <x:c r="C14" t="inlineStr">
        <x:is>
          <x:t xml:space="preserve">2026Q2</x:t>
        </x:is>
      </x:c>
      <x:c r="D14" t="inlineStr">
        <x:is>
          <x:t xml:space="preserve">vnstock</x:t>
        </x:is>
      </x:c>
      <x:c r="E14" t="n">
        <x:v>0</x:v>
      </x:c>
    </x:row>
    <x:row r="15">
      <x:c r="A15" t="inlineStr">
        <x:is>
          <x:t xml:space="preserve">CTG</x:t>
        </x:is>
      </x:c>
      <x:c r="B15" s="7" t="n">
        <x:v>46262</x:v>
      </x:c>
      <x:c r="C15" t="inlineStr">
        <x:is>
          <x:t xml:space="preserve">2026Q2</x:t>
        </x:is>
      </x:c>
      <x:c r="D15" t="inlineStr">
        <x:is>
          <x:t xml:space="preserve">vnstock</x:t>
        </x:is>
      </x:c>
      <x:c r="E15" t="n">
        <x:v>0</x:v>
      </x:c>
    </x:row>
    <x:row r="16">
      <x:c r="A16" t="inlineStr">
        <x:is>
          <x:t xml:space="preserve">CTR</x:t>
        </x:is>
      </x:c>
      <x:c r="B16" s="7" t="n">
        <x:v>46262</x:v>
      </x:c>
      <x:c r="C16" t="inlineStr">
        <x:is>
          <x:t xml:space="preserve">2026Q2</x:t>
        </x:is>
      </x:c>
      <x:c r="D16" t="inlineStr">
        <x:is>
          <x:t xml:space="preserve">vnstock</x:t>
        </x:is>
      </x:c>
      <x:c r="E16" t="n">
        <x:v>0</x:v>
      </x:c>
    </x:row>
    <x:row r="17">
      <x:c r="A17" t="inlineStr">
        <x:is>
          <x:t xml:space="preserve">CTS</x:t>
        </x:is>
      </x:c>
      <x:c r="B17" s="7" t="n">
        <x:v>46262</x:v>
      </x:c>
      <x:c r="C17" t="inlineStr">
        <x:is>
          <x:t xml:space="preserve">2026Q2</x:t>
        </x:is>
      </x:c>
      <x:c r="D17" t="inlineStr">
        <x:is>
          <x:t xml:space="preserve">vnstock</x:t>
        </x:is>
      </x:c>
      <x:c r="E17" t="n">
        <x:v>0</x:v>
      </x:c>
    </x:row>
    <x:row r="18">
      <x:c r="A18" t="inlineStr">
        <x:is>
          <x:t xml:space="preserve">DBC</x:t>
        </x:is>
      </x:c>
      <x:c r="B18" s="7" t="n">
        <x:v>46262</x:v>
      </x:c>
      <x:c r="C18" t="inlineStr">
        <x:is>
          <x:t xml:space="preserve">2026Q2</x:t>
        </x:is>
      </x:c>
      <x:c r="D18" t="inlineStr">
        <x:is>
          <x:t xml:space="preserve">vnstock</x:t>
        </x:is>
      </x:c>
      <x:c r="E18" t="n">
        <x:v>0</x:v>
      </x:c>
    </x:row>
    <x:row r="19">
      <x:c r="A19" t="inlineStr">
        <x:is>
          <x:t xml:space="preserve">DCM</x:t>
        </x:is>
      </x:c>
      <x:c r="B19" s="7" t="n">
        <x:v>46262</x:v>
      </x:c>
      <x:c r="C19" t="inlineStr">
        <x:is>
          <x:t xml:space="preserve">2026Q2</x:t>
        </x:is>
      </x:c>
      <x:c r="D19" t="inlineStr">
        <x:is>
          <x:t xml:space="preserve">vnstock</x:t>
        </x:is>
      </x:c>
      <x:c r="E19" t="n">
        <x:v>0</x:v>
      </x:c>
    </x:row>
    <x:row r="20">
      <x:c r="A20" t="inlineStr">
        <x:is>
          <x:t xml:space="preserve">DGW</x:t>
        </x:is>
      </x:c>
      <x:c r="B20" s="7" t="n">
        <x:v>46262</x:v>
      </x:c>
      <x:c r="C20" t="inlineStr">
        <x:is>
          <x:t xml:space="preserve">2026Q2</x:t>
        </x:is>
      </x:c>
      <x:c r="D20" t="inlineStr">
        <x:is>
          <x:t xml:space="preserve">vnstock</x:t>
        </x:is>
      </x:c>
      <x:c r="E20" t="n">
        <x:v>0</x:v>
      </x:c>
    </x:row>
    <x:row r="21">
      <x:c r="A21" t="inlineStr">
        <x:is>
          <x:t xml:space="preserve">DIG</x:t>
        </x:is>
      </x:c>
      <x:c r="B21" s="7" t="n">
        <x:v>46262</x:v>
      </x:c>
      <x:c r="C21" t="inlineStr">
        <x:is>
          <x:t xml:space="preserve">2026Q2</x:t>
        </x:is>
      </x:c>
      <x:c r="D21" t="inlineStr">
        <x:is>
          <x:t xml:space="preserve">vnstock</x:t>
        </x:is>
      </x:c>
      <x:c r="E21" t="n">
        <x:v>0</x:v>
      </x:c>
    </x:row>
    <x:row r="22">
      <x:c r="A22" t="inlineStr">
        <x:is>
          <x:t xml:space="preserve">DPM</x:t>
        </x:is>
      </x:c>
      <x:c r="B22" s="7" t="n">
        <x:v>46262</x:v>
      </x:c>
      <x:c r="C22" t="inlineStr">
        <x:is>
          <x:t xml:space="preserve">2026Q2</x:t>
        </x:is>
      </x:c>
      <x:c r="D22" t="inlineStr">
        <x:is>
          <x:t xml:space="preserve">vnstock</x:t>
        </x:is>
      </x:c>
      <x:c r="E22" t="n">
        <x:v>0</x:v>
      </x:c>
    </x:row>
    <x:row r="23">
      <x:c r="A23" t="inlineStr">
        <x:is>
          <x:t xml:space="preserve">DSE</x:t>
        </x:is>
      </x:c>
      <x:c r="B23" s="7" t="n">
        <x:v>46262</x:v>
      </x:c>
      <x:c r="C23" t="inlineStr">
        <x:is>
          <x:t xml:space="preserve">2026Q2</x:t>
        </x:is>
      </x:c>
      <x:c r="D23" t="inlineStr">
        <x:is>
          <x:t xml:space="preserve">vnstock</x:t>
        </x:is>
      </x:c>
      <x:c r="E23" t="n">
        <x:v>0</x:v>
      </x:c>
    </x:row>
    <x:row r="24">
      <x:c r="A24" t="inlineStr">
        <x:is>
          <x:t xml:space="preserve">DXG</x:t>
        </x:is>
      </x:c>
      <x:c r="B24" s="7" t="n">
        <x:v>46262</x:v>
      </x:c>
      <x:c r="C24" t="inlineStr">
        <x:is>
          <x:t xml:space="preserve">2026Q2</x:t>
        </x:is>
      </x:c>
      <x:c r="D24" t="inlineStr">
        <x:is>
          <x:t xml:space="preserve">vnstock</x:t>
        </x:is>
      </x:c>
      <x:c r="E24" t="n">
        <x:v>0</x:v>
      </x:c>
    </x:row>
    <x:row r="25">
      <x:c r="A25" t="inlineStr">
        <x:is>
          <x:t xml:space="preserve">EIB</x:t>
        </x:is>
      </x:c>
      <x:c r="B25" s="7" t="n">
        <x:v>46262</x:v>
      </x:c>
      <x:c r="C25" t="inlineStr">
        <x:is>
          <x:t xml:space="preserve">2026Q2</x:t>
        </x:is>
      </x:c>
      <x:c r="D25" t="inlineStr">
        <x:is>
          <x:t xml:space="preserve">vnstock</x:t>
        </x:is>
      </x:c>
      <x:c r="E25" t="n">
        <x:v>0</x:v>
      </x:c>
    </x:row>
    <x:row r="26">
      <x:c r="A26" t="inlineStr">
        <x:is>
          <x:t xml:space="preserve">EVF</x:t>
        </x:is>
      </x:c>
      <x:c r="B26" s="7" t="n">
        <x:v>46262</x:v>
      </x:c>
      <x:c r="C26" t="inlineStr">
        <x:is>
          <x:t xml:space="preserve">2026Q2</x:t>
        </x:is>
      </x:c>
      <x:c r="D26" t="inlineStr">
        <x:is>
          <x:t xml:space="preserve">vnstock</x:t>
        </x:is>
      </x:c>
      <x:c r="E26" t="n">
        <x:v>0</x:v>
      </x:c>
    </x:row>
    <x:row r="27">
      <x:c r="A27" t="inlineStr">
        <x:is>
          <x:t xml:space="preserve">FPT</x:t>
        </x:is>
      </x:c>
      <x:c r="B27" s="7" t="n">
        <x:v>46262</x:v>
      </x:c>
      <x:c r="C27" t="inlineStr">
        <x:is>
          <x:t xml:space="preserve">2026Q2</x:t>
        </x:is>
      </x:c>
      <x:c r="D27" t="inlineStr">
        <x:is>
          <x:t xml:space="preserve">vnstock</x:t>
        </x:is>
      </x:c>
      <x:c r="E27" t="n">
        <x:v>0</x:v>
      </x:c>
    </x:row>
    <x:row r="28">
      <x:c r="A28" t="inlineStr">
        <x:is>
          <x:t xml:space="preserve">FRT</x:t>
        </x:is>
      </x:c>
      <x:c r="B28" s="7" t="n">
        <x:v>46262</x:v>
      </x:c>
      <x:c r="C28" t="inlineStr">
        <x:is>
          <x:t xml:space="preserve">2026Q2</x:t>
        </x:is>
      </x:c>
      <x:c r="D28" t="inlineStr">
        <x:is>
          <x:t xml:space="preserve">vnstock</x:t>
        </x:is>
      </x:c>
      <x:c r="E28" t="n">
        <x:v>0</x:v>
      </x:c>
    </x:row>
    <x:row r="29">
      <x:c r="A29" t="inlineStr">
        <x:is>
          <x:t xml:space="preserve">FTS</x:t>
        </x:is>
      </x:c>
      <x:c r="B29" s="7" t="n">
        <x:v>46262</x:v>
      </x:c>
      <x:c r="C29" t="inlineStr">
        <x:is>
          <x:t xml:space="preserve">2026Q2</x:t>
        </x:is>
      </x:c>
      <x:c r="D29" t="inlineStr">
        <x:is>
          <x:t xml:space="preserve">vnstock</x:t>
        </x:is>
      </x:c>
      <x:c r="E29" t="n">
        <x:v>0</x:v>
      </x:c>
    </x:row>
    <x:row r="30">
      <x:c r="A30" t="inlineStr">
        <x:is>
          <x:t xml:space="preserve">GAS</x:t>
        </x:is>
      </x:c>
      <x:c r="B30" s="7" t="n">
        <x:v>46262</x:v>
      </x:c>
      <x:c r="C30" t="inlineStr">
        <x:is>
          <x:t xml:space="preserve">2026Q2</x:t>
        </x:is>
      </x:c>
      <x:c r="D30" t="inlineStr">
        <x:is>
          <x:t xml:space="preserve">vnstock</x:t>
        </x:is>
      </x:c>
      <x:c r="E30" t="n">
        <x:v>0</x:v>
      </x:c>
    </x:row>
    <x:row r="31">
      <x:c r="A31" t="inlineStr">
        <x:is>
          <x:t xml:space="preserve">GEE</x:t>
        </x:is>
      </x:c>
      <x:c r="B31" s="7" t="n">
        <x:v>46262</x:v>
      </x:c>
      <x:c r="C31" t="inlineStr">
        <x:is>
          <x:t xml:space="preserve">2026Q2</x:t>
        </x:is>
      </x:c>
      <x:c r="D31" t="inlineStr">
        <x:is>
          <x:t xml:space="preserve">vnstock</x:t>
        </x:is>
      </x:c>
      <x:c r="E31" t="n">
        <x:v>0</x:v>
      </x:c>
    </x:row>
    <x:row r="32">
      <x:c r="A32" t="inlineStr">
        <x:is>
          <x:t xml:space="preserve">GEX</x:t>
        </x:is>
      </x:c>
      <x:c r="B32" s="7" t="n">
        <x:v>46262</x:v>
      </x:c>
      <x:c r="C32" t="inlineStr">
        <x:is>
          <x:t xml:space="preserve">2026Q2</x:t>
        </x:is>
      </x:c>
      <x:c r="D32" t="inlineStr">
        <x:is>
          <x:t xml:space="preserve">vnstock</x:t>
        </x:is>
      </x:c>
      <x:c r="E32" t="n">
        <x:v>0</x:v>
      </x:c>
    </x:row>
    <x:row r="33">
      <x:c r="A33" t="inlineStr">
        <x:is>
          <x:t xml:space="preserve">GMD</x:t>
        </x:is>
      </x:c>
      <x:c r="B33" s="7" t="n">
        <x:v>46262</x:v>
      </x:c>
      <x:c r="C33" t="inlineStr">
        <x:is>
          <x:t xml:space="preserve">2026Q2</x:t>
        </x:is>
      </x:c>
      <x:c r="D33" t="inlineStr">
        <x:is>
          <x:t xml:space="preserve">vnstock</x:t>
        </x:is>
      </x:c>
      <x:c r="E33" t="n">
        <x:v>0</x:v>
      </x:c>
    </x:row>
    <x:row r="34">
      <x:c r="A34" t="inlineStr">
        <x:is>
          <x:t xml:space="preserve">GVR</x:t>
        </x:is>
      </x:c>
      <x:c r="B34" s="7" t="n">
        <x:v>46262</x:v>
      </x:c>
      <x:c r="C34" t="inlineStr">
        <x:is>
          <x:t xml:space="preserve">2026Q2</x:t>
        </x:is>
      </x:c>
      <x:c r="D34" t="inlineStr">
        <x:is>
          <x:t xml:space="preserve">vnstock</x:t>
        </x:is>
      </x:c>
      <x:c r="E34" t="n">
        <x:v>0</x:v>
      </x:c>
    </x:row>
    <x:row r="35">
      <x:c r="A35" t="inlineStr">
        <x:is>
          <x:t xml:space="preserve">HAG</x:t>
        </x:is>
      </x:c>
      <x:c r="B35" s="7" t="n">
        <x:v>46262</x:v>
      </x:c>
      <x:c r="C35" t="inlineStr">
        <x:is>
          <x:t xml:space="preserve">2026Q2</x:t>
        </x:is>
      </x:c>
      <x:c r="D35" t="inlineStr">
        <x:is>
          <x:t xml:space="preserve">vnstock</x:t>
        </x:is>
      </x:c>
      <x:c r="E35" t="n">
        <x:v>0</x:v>
      </x:c>
    </x:row>
    <x:row r="36">
      <x:c r="A36" t="inlineStr">
        <x:is>
          <x:t xml:space="preserve">HCM</x:t>
        </x:is>
      </x:c>
      <x:c r="B36" s="7" t="n">
        <x:v>46262</x:v>
      </x:c>
      <x:c r="C36" t="inlineStr">
        <x:is>
          <x:t xml:space="preserve">2026Q2</x:t>
        </x:is>
      </x:c>
      <x:c r="D36" t="inlineStr">
        <x:is>
          <x:t xml:space="preserve">vnstock</x:t>
        </x:is>
      </x:c>
      <x:c r="E36" t="n">
        <x:v>0</x:v>
      </x:c>
    </x:row>
    <x:row r="37">
      <x:c r="A37" t="inlineStr">
        <x:is>
          <x:t xml:space="preserve">HDB</x:t>
        </x:is>
      </x:c>
      <x:c r="B37" s="7" t="n">
        <x:v>46262</x:v>
      </x:c>
      <x:c r="C37" t="inlineStr">
        <x:is>
          <x:t xml:space="preserve">2026Q2</x:t>
        </x:is>
      </x:c>
      <x:c r="D37" t="inlineStr">
        <x:is>
          <x:t xml:space="preserve">vnstock</x:t>
        </x:is>
      </x:c>
      <x:c r="E37" t="n">
        <x:v>0</x:v>
      </x:c>
    </x:row>
    <x:row r="38">
      <x:c r="A38" t="inlineStr">
        <x:is>
          <x:t xml:space="preserve">HDG</x:t>
        </x:is>
      </x:c>
      <x:c r="B38" s="7" t="n">
        <x:v>46262</x:v>
      </x:c>
      <x:c r="C38" t="inlineStr">
        <x:is>
          <x:t xml:space="preserve">2026Q2</x:t>
        </x:is>
      </x:c>
      <x:c r="D38" t="inlineStr">
        <x:is>
          <x:t xml:space="preserve">vnstock</x:t>
        </x:is>
      </x:c>
      <x:c r="E38" t="n">
        <x:v>0</x:v>
      </x:c>
    </x:row>
    <x:row r="39">
      <x:c r="A39" t="inlineStr">
        <x:is>
          <x:t xml:space="preserve">HHV</x:t>
        </x:is>
      </x:c>
      <x:c r="B39" s="7" t="n">
        <x:v>46262</x:v>
      </x:c>
      <x:c r="C39" t="inlineStr">
        <x:is>
          <x:t xml:space="preserve">2026Q2</x:t>
        </x:is>
      </x:c>
      <x:c r="D39" t="inlineStr">
        <x:is>
          <x:t xml:space="preserve">vnstock</x:t>
        </x:is>
      </x:c>
      <x:c r="E39" t="n">
        <x:v>0</x:v>
      </x:c>
    </x:row>
    <x:row r="40">
      <x:c r="A40" t="inlineStr">
        <x:is>
          <x:t xml:space="preserve">HPG</x:t>
        </x:is>
      </x:c>
      <x:c r="B40" s="7" t="n">
        <x:v>46262</x:v>
      </x:c>
      <x:c r="C40" t="inlineStr">
        <x:is>
          <x:t xml:space="preserve">2026Q2</x:t>
        </x:is>
      </x:c>
      <x:c r="D40" t="inlineStr">
        <x:is>
          <x:t xml:space="preserve">vnstock</x:t>
        </x:is>
      </x:c>
      <x:c r="E40" t="n">
        <x:v>0</x:v>
      </x:c>
    </x:row>
    <x:row r="41">
      <x:c r="A41" t="inlineStr">
        <x:is>
          <x:t xml:space="preserve">HSG</x:t>
        </x:is>
      </x:c>
      <x:c r="B41" s="7" t="n">
        <x:v>46262</x:v>
      </x:c>
      <x:c r="C41" t="inlineStr">
        <x:is>
          <x:t xml:space="preserve">2026Q2</x:t>
        </x:is>
      </x:c>
      <x:c r="D41" t="inlineStr">
        <x:is>
          <x:t xml:space="preserve">vnstock</x:t>
        </x:is>
      </x:c>
      <x:c r="E41" t="n">
        <x:v>0</x:v>
      </x:c>
    </x:row>
    <x:row r="42">
      <x:c r="A42" t="inlineStr">
        <x:is>
          <x:t xml:space="preserve">HT1</x:t>
        </x:is>
      </x:c>
      <x:c r="B42" s="7" t="n">
        <x:v>46262</x:v>
      </x:c>
      <x:c r="C42" t="inlineStr">
        <x:is>
          <x:t xml:space="preserve">2026Q2</x:t>
        </x:is>
      </x:c>
      <x:c r="D42" t="inlineStr">
        <x:is>
          <x:t xml:space="preserve">vnstock</x:t>
        </x:is>
      </x:c>
      <x:c r="E42" t="n">
        <x:v>0</x:v>
      </x:c>
    </x:row>
    <x:row r="43">
      <x:c r="A43" t="inlineStr">
        <x:is>
          <x:t xml:space="preserve">KBC</x:t>
        </x:is>
      </x:c>
      <x:c r="B43" s="7" t="n">
        <x:v>46262</x:v>
      </x:c>
      <x:c r="C43" t="inlineStr">
        <x:is>
          <x:t xml:space="preserve">2026Q2</x:t>
        </x:is>
      </x:c>
      <x:c r="D43" t="inlineStr">
        <x:is>
          <x:t xml:space="preserve">vnstock</x:t>
        </x:is>
      </x:c>
      <x:c r="E43" t="n">
        <x:v>0</x:v>
      </x:c>
    </x:row>
    <x:row r="44">
      <x:c r="A44" t="inlineStr">
        <x:is>
          <x:t xml:space="preserve">KDC</x:t>
        </x:is>
      </x:c>
      <x:c r="B44" s="7" t="n">
        <x:v>46262</x:v>
      </x:c>
      <x:c r="C44" t="inlineStr">
        <x:is>
          <x:t xml:space="preserve">2026Q2</x:t>
        </x:is>
      </x:c>
      <x:c r="D44" t="inlineStr">
        <x:is>
          <x:t xml:space="preserve">vnstock</x:t>
        </x:is>
      </x:c>
      <x:c r="E44" t="n">
        <x:v>0</x:v>
      </x:c>
    </x:row>
    <x:row r="45">
      <x:c r="A45" t="inlineStr">
        <x:is>
          <x:t xml:space="preserve">KDH</x:t>
        </x:is>
      </x:c>
      <x:c r="B45" s="7" t="n">
        <x:v>46262</x:v>
      </x:c>
      <x:c r="C45" t="inlineStr">
        <x:is>
          <x:t xml:space="preserve">2026Q2</x:t>
        </x:is>
      </x:c>
      <x:c r="D45" t="inlineStr">
        <x:is>
          <x:t xml:space="preserve">vnstock</x:t>
        </x:is>
      </x:c>
      <x:c r="E45" t="n">
        <x:v>0</x:v>
      </x:c>
    </x:row>
    <x:row r="46">
      <x:c r="A46" t="inlineStr">
        <x:is>
          <x:t xml:space="preserve">KOS</x:t>
        </x:is>
      </x:c>
      <x:c r="B46" s="7" t="n">
        <x:v>46262</x:v>
      </x:c>
      <x:c r="C46" t="inlineStr">
        <x:is>
          <x:t xml:space="preserve">2026Q2</x:t>
        </x:is>
      </x:c>
      <x:c r="D46" t="inlineStr">
        <x:is>
          <x:t xml:space="preserve">vnstock</x:t>
        </x:is>
      </x:c>
      <x:c r="E46" t="n">
        <x:v>0</x:v>
      </x:c>
    </x:row>
    <x:row r="47">
      <x:c r="A47" t="inlineStr">
        <x:is>
          <x:t xml:space="preserve">LPB</x:t>
        </x:is>
      </x:c>
      <x:c r="B47" s="7" t="n">
        <x:v>46262</x:v>
      </x:c>
      <x:c r="C47" t="inlineStr">
        <x:is>
          <x:t xml:space="preserve">2026Q2</x:t>
        </x:is>
      </x:c>
      <x:c r="D47" t="inlineStr">
        <x:is>
          <x:t xml:space="preserve">vnstock</x:t>
        </x:is>
      </x:c>
      <x:c r="E47" t="n">
        <x:v>0</x:v>
      </x:c>
    </x:row>
    <x:row r="48">
      <x:c r="A48" t="inlineStr">
        <x:is>
          <x:t xml:space="preserve">MBB</x:t>
        </x:is>
      </x:c>
      <x:c r="B48" s="7" t="n">
        <x:v>46262</x:v>
      </x:c>
      <x:c r="C48" t="inlineStr">
        <x:is>
          <x:t xml:space="preserve">2026Q2</x:t>
        </x:is>
      </x:c>
      <x:c r="D48" t="inlineStr">
        <x:is>
          <x:t xml:space="preserve">vnstock</x:t>
        </x:is>
      </x:c>
      <x:c r="E48" t="n">
        <x:v>0</x:v>
      </x:c>
    </x:row>
    <x:row r="49">
      <x:c r="A49" t="inlineStr">
        <x:is>
          <x:t xml:space="preserve">MCH</x:t>
        </x:is>
      </x:c>
      <x:c r="B49" s="7" t="n">
        <x:v>46262</x:v>
      </x:c>
      <x:c r="C49" t="inlineStr">
        <x:is>
          <x:t xml:space="preserve">2026Q2</x:t>
        </x:is>
      </x:c>
      <x:c r="D49" t="inlineStr">
        <x:is>
          <x:t xml:space="preserve">vnstock</x:t>
        </x:is>
      </x:c>
      <x:c r="E49" t="n">
        <x:v>0</x:v>
      </x:c>
    </x:row>
    <x:row r="50">
      <x:c r="A50" t="inlineStr">
        <x:is>
          <x:t xml:space="preserve">MSB</x:t>
        </x:is>
      </x:c>
      <x:c r="B50" s="7" t="n">
        <x:v>46262</x:v>
      </x:c>
      <x:c r="C50" t="inlineStr">
        <x:is>
          <x:t xml:space="preserve">2026Q2</x:t>
        </x:is>
      </x:c>
      <x:c r="D50" t="inlineStr">
        <x:is>
          <x:t xml:space="preserve">vnstock</x:t>
        </x:is>
      </x:c>
      <x:c r="E50" t="n">
        <x:v>0</x:v>
      </x:c>
    </x:row>
    <x:row r="51">
      <x:c r="A51" t="inlineStr">
        <x:is>
          <x:t xml:space="preserve">MSN</x:t>
        </x:is>
      </x:c>
      <x:c r="B51" s="7" t="n">
        <x:v>46262</x:v>
      </x:c>
      <x:c r="C51" t="inlineStr">
        <x:is>
          <x:t xml:space="preserve">2026Q2</x:t>
        </x:is>
      </x:c>
      <x:c r="D51" t="inlineStr">
        <x:is>
          <x:t xml:space="preserve">vnstock</x:t>
        </x:is>
      </x:c>
      <x:c r="E51" t="n">
        <x:v>0</x:v>
      </x:c>
    </x:row>
    <x:row r="52">
      <x:c r="A52" t="inlineStr">
        <x:is>
          <x:t xml:space="preserve">MWG</x:t>
        </x:is>
      </x:c>
      <x:c r="B52" s="7" t="n">
        <x:v>46262</x:v>
      </x:c>
      <x:c r="C52" t="inlineStr">
        <x:is>
          <x:t xml:space="preserve">2026Q2</x:t>
        </x:is>
      </x:c>
      <x:c r="D52" t="inlineStr">
        <x:is>
          <x:t xml:space="preserve">vnstock</x:t>
        </x:is>
      </x:c>
      <x:c r="E52" t="n">
        <x:v>0</x:v>
      </x:c>
    </x:row>
    <x:row r="53">
      <x:c r="A53" t="inlineStr">
        <x:is>
          <x:t xml:space="preserve">NAB</x:t>
        </x:is>
      </x:c>
      <x:c r="B53" s="7" t="n">
        <x:v>46262</x:v>
      </x:c>
      <x:c r="C53" t="inlineStr">
        <x:is>
          <x:t xml:space="preserve">2026Q2</x:t>
        </x:is>
      </x:c>
      <x:c r="D53" t="inlineStr">
        <x:is>
          <x:t xml:space="preserve">vnstock</x:t>
        </x:is>
      </x:c>
      <x:c r="E53" t="n">
        <x:v>0</x:v>
      </x:c>
    </x:row>
    <x:row r="54">
      <x:c r="A54" t="inlineStr">
        <x:is>
          <x:t xml:space="preserve">NKG</x:t>
        </x:is>
      </x:c>
      <x:c r="B54" s="7" t="n">
        <x:v>46262</x:v>
      </x:c>
      <x:c r="C54" t="inlineStr">
        <x:is>
          <x:t xml:space="preserve">2026Q2</x:t>
        </x:is>
      </x:c>
      <x:c r="D54" t="inlineStr">
        <x:is>
          <x:t xml:space="preserve">vnstock</x:t>
        </x:is>
      </x:c>
      <x:c r="E54" t="n">
        <x:v>0</x:v>
      </x:c>
    </x:row>
    <x:row r="55">
      <x:c r="A55" t="inlineStr">
        <x:is>
          <x:t xml:space="preserve">NLG</x:t>
        </x:is>
      </x:c>
      <x:c r="B55" s="7" t="n">
        <x:v>46262</x:v>
      </x:c>
      <x:c r="C55" t="inlineStr">
        <x:is>
          <x:t xml:space="preserve">2026Q2</x:t>
        </x:is>
      </x:c>
      <x:c r="D55" t="inlineStr">
        <x:is>
          <x:t xml:space="preserve">vnstock</x:t>
        </x:is>
      </x:c>
      <x:c r="E55" t="n">
        <x:v>0</x:v>
      </x:c>
    </x:row>
    <x:row r="56">
      <x:c r="A56" t="inlineStr">
        <x:is>
          <x:t xml:space="preserve">NT2</x:t>
        </x:is>
      </x:c>
      <x:c r="B56" s="7" t="n">
        <x:v>46262</x:v>
      </x:c>
      <x:c r="C56" t="inlineStr">
        <x:is>
          <x:t xml:space="preserve">2026Q2</x:t>
        </x:is>
      </x:c>
      <x:c r="D56" t="inlineStr">
        <x:is>
          <x:t xml:space="preserve">vnstock</x:t>
        </x:is>
      </x:c>
      <x:c r="E56" t="n">
        <x:v>0</x:v>
      </x:c>
    </x:row>
    <x:row r="57">
      <x:c r="A57" t="inlineStr">
        <x:is>
          <x:t xml:space="preserve">NVL</x:t>
        </x:is>
      </x:c>
      <x:c r="B57" s="7" t="n">
        <x:v>46262</x:v>
      </x:c>
      <x:c r="C57" t="inlineStr">
        <x:is>
          <x:t xml:space="preserve">2026Q2</x:t>
        </x:is>
      </x:c>
      <x:c r="D57" t="inlineStr">
        <x:is>
          <x:t xml:space="preserve">vnstock</x:t>
        </x:is>
      </x:c>
      <x:c r="E57" t="n">
        <x:v>0</x:v>
      </x:c>
    </x:row>
    <x:row r="58">
      <x:c r="A58" t="inlineStr">
        <x:is>
          <x:t xml:space="preserve">OCB</x:t>
        </x:is>
      </x:c>
      <x:c r="B58" s="7" t="n">
        <x:v>46262</x:v>
      </x:c>
      <x:c r="C58" t="inlineStr">
        <x:is>
          <x:t xml:space="preserve">2026Q2</x:t>
        </x:is>
      </x:c>
      <x:c r="D58" t="inlineStr">
        <x:is>
          <x:t xml:space="preserve">vnstock</x:t>
        </x:is>
      </x:c>
      <x:c r="E58" t="n">
        <x:v>0</x:v>
      </x:c>
    </x:row>
    <x:row r="59">
      <x:c r="A59" t="inlineStr">
        <x:is>
          <x:t xml:space="preserve">PAN</x:t>
        </x:is>
      </x:c>
      <x:c r="B59" s="7" t="n">
        <x:v>46262</x:v>
      </x:c>
      <x:c r="C59" t="inlineStr">
        <x:is>
          <x:t xml:space="preserve">2026Q2</x:t>
        </x:is>
      </x:c>
      <x:c r="D59" t="inlineStr">
        <x:is>
          <x:t xml:space="preserve">vnstock</x:t>
        </x:is>
      </x:c>
      <x:c r="E59" t="n">
        <x:v>0</x:v>
      </x:c>
    </x:row>
    <x:row r="60">
      <x:c r="A60" t="inlineStr">
        <x:is>
          <x:t xml:space="preserve">PC1</x:t>
        </x:is>
      </x:c>
      <x:c r="B60" s="7" t="n">
        <x:v>46262</x:v>
      </x:c>
      <x:c r="C60" t="inlineStr">
        <x:is>
          <x:t xml:space="preserve">2026Q2</x:t>
        </x:is>
      </x:c>
      <x:c r="D60" t="inlineStr">
        <x:is>
          <x:t xml:space="preserve">vnstock</x:t>
        </x:is>
      </x:c>
      <x:c r="E60" t="n">
        <x:v>0</x:v>
      </x:c>
    </x:row>
    <x:row r="61">
      <x:c r="A61" t="inlineStr">
        <x:is>
          <x:t xml:space="preserve">PDR</x:t>
        </x:is>
      </x:c>
      <x:c r="B61" s="7" t="n">
        <x:v>46262</x:v>
      </x:c>
      <x:c r="C61" t="inlineStr">
        <x:is>
          <x:t xml:space="preserve">2026Q2</x:t>
        </x:is>
      </x:c>
      <x:c r="D61" t="inlineStr">
        <x:is>
          <x:t xml:space="preserve">vnstock</x:t>
        </x:is>
      </x:c>
      <x:c r="E61" t="n">
        <x:v>0</x:v>
      </x:c>
    </x:row>
    <x:row r="62">
      <x:c r="A62" t="inlineStr">
        <x:is>
          <x:t xml:space="preserve">PHR</x:t>
        </x:is>
      </x:c>
      <x:c r="B62" s="7" t="n">
        <x:v>46262</x:v>
      </x:c>
      <x:c r="C62" t="inlineStr">
        <x:is>
          <x:t xml:space="preserve">2026Q2</x:t>
        </x:is>
      </x:c>
      <x:c r="D62" t="inlineStr">
        <x:is>
          <x:t xml:space="preserve">vnstock</x:t>
        </x:is>
      </x:c>
      <x:c r="E62" t="n">
        <x:v>0</x:v>
      </x:c>
    </x:row>
    <x:row r="63">
      <x:c r="A63" t="inlineStr">
        <x:is>
          <x:t xml:space="preserve">PLX</x:t>
        </x:is>
      </x:c>
      <x:c r="B63" s="7" t="n">
        <x:v>46262</x:v>
      </x:c>
      <x:c r="C63" t="inlineStr">
        <x:is>
          <x:t xml:space="preserve">2026Q2</x:t>
        </x:is>
      </x:c>
      <x:c r="D63" t="inlineStr">
        <x:is>
          <x:t xml:space="preserve">vnstock</x:t>
        </x:is>
      </x:c>
      <x:c r="E63" t="n">
        <x:v>0</x:v>
      </x:c>
    </x:row>
    <x:row r="64">
      <x:c r="A64" t="inlineStr">
        <x:is>
          <x:t xml:space="preserve">PNJ</x:t>
        </x:is>
      </x:c>
      <x:c r="B64" s="7" t="n">
        <x:v>46262</x:v>
      </x:c>
      <x:c r="C64" t="inlineStr">
        <x:is>
          <x:t xml:space="preserve">2026Q2</x:t>
        </x:is>
      </x:c>
      <x:c r="D64" t="inlineStr">
        <x:is>
          <x:t xml:space="preserve">vnstock</x:t>
        </x:is>
      </x:c>
      <x:c r="E64" t="n">
        <x:v>0</x:v>
      </x:c>
    </x:row>
    <x:row r="65">
      <x:c r="A65" t="inlineStr">
        <x:is>
          <x:t xml:space="preserve">POW</x:t>
        </x:is>
      </x:c>
      <x:c r="B65" s="7" t="n">
        <x:v>46262</x:v>
      </x:c>
      <x:c r="C65" t="inlineStr">
        <x:is>
          <x:t xml:space="preserve">2026Q2</x:t>
        </x:is>
      </x:c>
      <x:c r="D65" t="inlineStr">
        <x:is>
          <x:t xml:space="preserve">vnstock</x:t>
        </x:is>
      </x:c>
      <x:c r="E65" t="n">
        <x:v>0</x:v>
      </x:c>
    </x:row>
    <x:row r="66">
      <x:c r="A66" t="inlineStr">
        <x:is>
          <x:t xml:space="preserve">PVD</x:t>
        </x:is>
      </x:c>
      <x:c r="B66" s="7" t="n">
        <x:v>46262</x:v>
      </x:c>
      <x:c r="C66" t="inlineStr">
        <x:is>
          <x:t xml:space="preserve">2026Q2</x:t>
        </x:is>
      </x:c>
      <x:c r="D66" t="inlineStr">
        <x:is>
          <x:t xml:space="preserve">vnstock</x:t>
        </x:is>
      </x:c>
      <x:c r="E66" t="n">
        <x:v>0</x:v>
      </x:c>
    </x:row>
    <x:row r="67">
      <x:c r="A67" t="inlineStr">
        <x:is>
          <x:t xml:space="preserve">PVT</x:t>
        </x:is>
      </x:c>
      <x:c r="B67" s="7" t="n">
        <x:v>46262</x:v>
      </x:c>
      <x:c r="C67" t="inlineStr">
        <x:is>
          <x:t xml:space="preserve">2026Q2</x:t>
        </x:is>
      </x:c>
      <x:c r="D67" t="inlineStr">
        <x:is>
          <x:t xml:space="preserve">vnstock</x:t>
        </x:is>
      </x:c>
      <x:c r="E67" t="n">
        <x:v>0</x:v>
      </x:c>
    </x:row>
    <x:row r="68">
      <x:c r="A68" t="inlineStr">
        <x:is>
          <x:t xml:space="preserve">REE</x:t>
        </x:is>
      </x:c>
      <x:c r="B68" s="7" t="n">
        <x:v>46262</x:v>
      </x:c>
      <x:c r="C68" t="inlineStr">
        <x:is>
          <x:t xml:space="preserve">2026Q2</x:t>
        </x:is>
      </x:c>
      <x:c r="D68" t="inlineStr">
        <x:is>
          <x:t xml:space="preserve">vnstock</x:t>
        </x:is>
      </x:c>
      <x:c r="E68" t="n">
        <x:v>0</x:v>
      </x:c>
    </x:row>
    <x:row r="69">
      <x:c r="A69" t="inlineStr">
        <x:is>
          <x:t xml:space="preserve">SAB</x:t>
        </x:is>
      </x:c>
      <x:c r="B69" s="7" t="n">
        <x:v>46262</x:v>
      </x:c>
      <x:c r="C69" t="inlineStr">
        <x:is>
          <x:t xml:space="preserve">2026Q2</x:t>
        </x:is>
      </x:c>
      <x:c r="D69" t="inlineStr">
        <x:is>
          <x:t xml:space="preserve">vnstock</x:t>
        </x:is>
      </x:c>
      <x:c r="E69" t="n">
        <x:v>0</x:v>
      </x:c>
    </x:row>
    <x:row r="70">
      <x:c r="A70" t="inlineStr">
        <x:is>
          <x:t xml:space="preserve">SBT</x:t>
        </x:is>
      </x:c>
      <x:c r="B70" s="7" t="n">
        <x:v>46262</x:v>
      </x:c>
      <x:c r="C70" t="inlineStr">
        <x:is>
          <x:t xml:space="preserve">2026Q2</x:t>
        </x:is>
      </x:c>
      <x:c r="D70" t="inlineStr">
        <x:is>
          <x:t xml:space="preserve">vnstock</x:t>
        </x:is>
      </x:c>
      <x:c r="E70" t="n">
        <x:v>0</x:v>
      </x:c>
    </x:row>
    <x:row r="71">
      <x:c r="A71" t="inlineStr">
        <x:is>
          <x:t xml:space="preserve">SHB</x:t>
        </x:is>
      </x:c>
      <x:c r="B71" s="7" t="n">
        <x:v>46262</x:v>
      </x:c>
      <x:c r="C71" t="inlineStr">
        <x:is>
          <x:t xml:space="preserve">2026Q2</x:t>
        </x:is>
      </x:c>
      <x:c r="D71" t="inlineStr">
        <x:is>
          <x:t xml:space="preserve">vnstock</x:t>
        </x:is>
      </x:c>
      <x:c r="E71" t="n">
        <x:v>0</x:v>
      </x:c>
    </x:row>
    <x:row r="72">
      <x:c r="A72" t="inlineStr">
        <x:is>
          <x:t xml:space="preserve">SIP</x:t>
        </x:is>
      </x:c>
      <x:c r="B72" s="7" t="n">
        <x:v>46262</x:v>
      </x:c>
      <x:c r="C72" t="inlineStr">
        <x:is>
          <x:t xml:space="preserve">2026Q2</x:t>
        </x:is>
      </x:c>
      <x:c r="D72" t="inlineStr">
        <x:is>
          <x:t xml:space="preserve">vnstock</x:t>
        </x:is>
      </x:c>
      <x:c r="E72" t="n">
        <x:v>0</x:v>
      </x:c>
    </x:row>
    <x:row r="73">
      <x:c r="A73" t="inlineStr">
        <x:is>
          <x:t xml:space="preserve">SJS</x:t>
        </x:is>
      </x:c>
      <x:c r="B73" s="7" t="n">
        <x:v>46262</x:v>
      </x:c>
      <x:c r="C73" t="inlineStr">
        <x:is>
          <x:t xml:space="preserve">2026Q2</x:t>
        </x:is>
      </x:c>
      <x:c r="D73" t="inlineStr">
        <x:is>
          <x:t xml:space="preserve">vnstock</x:t>
        </x:is>
      </x:c>
      <x:c r="E73" t="n">
        <x:v>0</x:v>
      </x:c>
    </x:row>
    <x:row r="74">
      <x:c r="A74" t="inlineStr">
        <x:is>
          <x:t xml:space="preserve">SSB</x:t>
        </x:is>
      </x:c>
      <x:c r="B74" s="7" t="n">
        <x:v>46262</x:v>
      </x:c>
      <x:c r="C74" t="inlineStr">
        <x:is>
          <x:t xml:space="preserve">2026Q2</x:t>
        </x:is>
      </x:c>
      <x:c r="D74" t="inlineStr">
        <x:is>
          <x:t xml:space="preserve">vnstock</x:t>
        </x:is>
      </x:c>
      <x:c r="E74" t="n">
        <x:v>0</x:v>
      </x:c>
    </x:row>
    <x:row r="75">
      <x:c r="A75" t="inlineStr">
        <x:is>
          <x:t xml:space="preserve">SSI</x:t>
        </x:is>
      </x:c>
      <x:c r="B75" s="7" t="n">
        <x:v>46262</x:v>
      </x:c>
      <x:c r="C75" t="inlineStr">
        <x:is>
          <x:t xml:space="preserve">2026Q2</x:t>
        </x:is>
      </x:c>
      <x:c r="D75" t="inlineStr">
        <x:is>
          <x:t xml:space="preserve">vnstock</x:t>
        </x:is>
      </x:c>
      <x:c r="E75" t="n">
        <x:v>0</x:v>
      </x:c>
    </x:row>
    <x:row r="76">
      <x:c r="A76" t="inlineStr">
        <x:is>
          <x:t xml:space="preserve">STB</x:t>
        </x:is>
      </x:c>
      <x:c r="B76" s="7" t="n">
        <x:v>46262</x:v>
      </x:c>
      <x:c r="C76" t="inlineStr">
        <x:is>
          <x:t xml:space="preserve">2026Q2</x:t>
        </x:is>
      </x:c>
      <x:c r="D76" t="inlineStr">
        <x:is>
          <x:t xml:space="preserve">vnstock</x:t>
        </x:is>
      </x:c>
      <x:c r="E76" t="n">
        <x:v>0</x:v>
      </x:c>
    </x:row>
    <x:row r="77">
      <x:c r="A77" t="inlineStr">
        <x:is>
          <x:t xml:space="preserve">TAL</x:t>
        </x:is>
      </x:c>
      <x:c r="B77" s="7" t="n">
        <x:v>46262</x:v>
      </x:c>
      <x:c r="C77" t="inlineStr">
        <x:is>
          <x:t xml:space="preserve">2026Q2</x:t>
        </x:is>
      </x:c>
      <x:c r="D77" t="inlineStr">
        <x:is>
          <x:t xml:space="preserve">vnstock</x:t>
        </x:is>
      </x:c>
      <x:c r="E77" t="n">
        <x:v>0</x:v>
      </x:c>
    </x:row>
    <x:row r="78">
      <x:c r="A78" t="inlineStr">
        <x:is>
          <x:t xml:space="preserve">TCB</x:t>
        </x:is>
      </x:c>
      <x:c r="B78" s="7" t="n">
        <x:v>46262</x:v>
      </x:c>
      <x:c r="C78" t="inlineStr">
        <x:is>
          <x:t xml:space="preserve">2026Q2</x:t>
        </x:is>
      </x:c>
      <x:c r="D78" t="inlineStr">
        <x:is>
          <x:t xml:space="preserve">vnstock</x:t>
        </x:is>
      </x:c>
      <x:c r="E78" t="n">
        <x:v>0</x:v>
      </x:c>
    </x:row>
    <x:row r="79">
      <x:c r="A79" t="inlineStr">
        <x:is>
          <x:t xml:space="preserve">TCH</x:t>
        </x:is>
      </x:c>
      <x:c r="B79" s="7" t="n">
        <x:v>46262</x:v>
      </x:c>
      <x:c r="C79" t="inlineStr">
        <x:is>
          <x:t xml:space="preserve">2026Q2</x:t>
        </x:is>
      </x:c>
      <x:c r="D79" t="inlineStr">
        <x:is>
          <x:t xml:space="preserve">vnstock</x:t>
        </x:is>
      </x:c>
      <x:c r="E79" t="n">
        <x:v>0</x:v>
      </x:c>
    </x:row>
    <x:row r="80">
      <x:c r="A80" t="inlineStr">
        <x:is>
          <x:t xml:space="preserve">TCX</x:t>
        </x:is>
      </x:c>
      <x:c r="B80" s="7" t="n">
        <x:v>46262</x:v>
      </x:c>
      <x:c r="C80" t="inlineStr">
        <x:is>
          <x:t xml:space="preserve">2026Q2</x:t>
        </x:is>
      </x:c>
      <x:c r="D80" t="inlineStr">
        <x:is>
          <x:t xml:space="preserve">vnstock</x:t>
        </x:is>
      </x:c>
      <x:c r="E80" t="n">
        <x:v>0</x:v>
      </x:c>
    </x:row>
    <x:row r="81">
      <x:c r="A81" t="inlineStr">
        <x:is>
          <x:t xml:space="preserve">TPB</x:t>
        </x:is>
      </x:c>
      <x:c r="B81" s="7" t="n">
        <x:v>46262</x:v>
      </x:c>
      <x:c r="C81" t="inlineStr">
        <x:is>
          <x:t xml:space="preserve">2026Q2</x:t>
        </x:is>
      </x:c>
      <x:c r="D81" t="inlineStr">
        <x:is>
          <x:t xml:space="preserve">vnstock</x:t>
        </x:is>
      </x:c>
      <x:c r="E81" t="n">
        <x:v>0</x:v>
      </x:c>
    </x:row>
    <x:row r="82">
      <x:c r="A82" t="inlineStr">
        <x:is>
          <x:t xml:space="preserve">VCB</x:t>
        </x:is>
      </x:c>
      <x:c r="B82" s="7" t="n">
        <x:v>46262</x:v>
      </x:c>
      <x:c r="C82" t="inlineStr">
        <x:is>
          <x:t xml:space="preserve">2026Q2</x:t>
        </x:is>
      </x:c>
      <x:c r="D82" t="inlineStr">
        <x:is>
          <x:t xml:space="preserve">vnstock</x:t>
        </x:is>
      </x:c>
      <x:c r="E82" t="n">
        <x:v>0</x:v>
      </x:c>
    </x:row>
    <x:row r="83">
      <x:c r="A83" t="inlineStr">
        <x:is>
          <x:t xml:space="preserve">VCG</x:t>
        </x:is>
      </x:c>
      <x:c r="B83" s="7" t="n">
        <x:v>46262</x:v>
      </x:c>
      <x:c r="C83" t="inlineStr">
        <x:is>
          <x:t xml:space="preserve">2026Q2</x:t>
        </x:is>
      </x:c>
      <x:c r="D83" t="inlineStr">
        <x:is>
          <x:t xml:space="preserve">vnstock</x:t>
        </x:is>
      </x:c>
      <x:c r="E83" t="n">
        <x:v>0</x:v>
      </x:c>
    </x:row>
    <x:row r="84">
      <x:c r="A84" t="inlineStr">
        <x:is>
          <x:t xml:space="preserve">VCI</x:t>
        </x:is>
      </x:c>
      <x:c r="B84" s="7" t="n">
        <x:v>46262</x:v>
      </x:c>
      <x:c r="C84" t="inlineStr">
        <x:is>
          <x:t xml:space="preserve">2026Q2</x:t>
        </x:is>
      </x:c>
      <x:c r="D84" t="inlineStr">
        <x:is>
          <x:t xml:space="preserve">vnstock</x:t>
        </x:is>
      </x:c>
      <x:c r="E84" t="n">
        <x:v>0</x:v>
      </x:c>
    </x:row>
    <x:row r="85">
      <x:c r="A85" t="inlineStr">
        <x:is>
          <x:t xml:space="preserve">VCK</x:t>
        </x:is>
      </x:c>
      <x:c r="B85" s="7" t="n">
        <x:v>46262</x:v>
      </x:c>
      <x:c r="C85" t="inlineStr">
        <x:is>
          <x:t xml:space="preserve">2026Q2</x:t>
        </x:is>
      </x:c>
      <x:c r="D85" t="inlineStr">
        <x:is>
          <x:t xml:space="preserve">vnstock</x:t>
        </x:is>
      </x:c>
      <x:c r="E85" t="n">
        <x:v>0</x:v>
      </x:c>
    </x:row>
    <x:row r="86">
      <x:c r="A86" t="inlineStr">
        <x:is>
          <x:t xml:space="preserve">VGC</x:t>
        </x:is>
      </x:c>
      <x:c r="B86" s="7" t="n">
        <x:v>46262</x:v>
      </x:c>
      <x:c r="C86" t="inlineStr">
        <x:is>
          <x:t xml:space="preserve">2026Q2</x:t>
        </x:is>
      </x:c>
      <x:c r="D86" t="inlineStr">
        <x:is>
          <x:t xml:space="preserve">vnstock</x:t>
        </x:is>
      </x:c>
      <x:c r="E86" t="n">
        <x:v>0</x:v>
      </x:c>
    </x:row>
    <x:row r="87">
      <x:c r="A87" t="inlineStr">
        <x:is>
          <x:t xml:space="preserve">VHC</x:t>
        </x:is>
      </x:c>
      <x:c r="B87" s="7" t="n">
        <x:v>46262</x:v>
      </x:c>
      <x:c r="C87" t="inlineStr">
        <x:is>
          <x:t xml:space="preserve">2026Q2</x:t>
        </x:is>
      </x:c>
      <x:c r="D87" t="inlineStr">
        <x:is>
          <x:t xml:space="preserve">vnstock</x:t>
        </x:is>
      </x:c>
      <x:c r="E87" t="n">
        <x:v>0</x:v>
      </x:c>
    </x:row>
    <x:row r="88">
      <x:c r="A88" t="inlineStr">
        <x:is>
          <x:t xml:space="preserve">VHM</x:t>
        </x:is>
      </x:c>
      <x:c r="B88" s="7" t="n">
        <x:v>46262</x:v>
      </x:c>
      <x:c r="C88" t="inlineStr">
        <x:is>
          <x:t xml:space="preserve">2026Q2</x:t>
        </x:is>
      </x:c>
      <x:c r="D88" t="inlineStr">
        <x:is>
          <x:t xml:space="preserve">vnstock</x:t>
        </x:is>
      </x:c>
      <x:c r="E88" t="n">
        <x:v>0</x:v>
      </x:c>
    </x:row>
    <x:row r="89">
      <x:c r="A89" t="inlineStr">
        <x:is>
          <x:t xml:space="preserve">VIB</x:t>
        </x:is>
      </x:c>
      <x:c r="B89" s="7" t="n">
        <x:v>46262</x:v>
      </x:c>
      <x:c r="C89" t="inlineStr">
        <x:is>
          <x:t xml:space="preserve">2026Q2</x:t>
        </x:is>
      </x:c>
      <x:c r="D89" t="inlineStr">
        <x:is>
          <x:t xml:space="preserve">vnstock</x:t>
        </x:is>
      </x:c>
      <x:c r="E89" t="n">
        <x:v>0</x:v>
      </x:c>
    </x:row>
    <x:row r="90">
      <x:c r="A90" t="inlineStr">
        <x:is>
          <x:t xml:space="preserve">VIC</x:t>
        </x:is>
      </x:c>
      <x:c r="B90" s="7" t="n">
        <x:v>46262</x:v>
      </x:c>
      <x:c r="C90" t="inlineStr">
        <x:is>
          <x:t xml:space="preserve">2026Q2</x:t>
        </x:is>
      </x:c>
      <x:c r="D90" t="inlineStr">
        <x:is>
          <x:t xml:space="preserve">vnstock</x:t>
        </x:is>
      </x:c>
      <x:c r="E90" t="n">
        <x:v>0</x:v>
      </x:c>
    </x:row>
    <x:row r="91">
      <x:c r="A91" t="inlineStr">
        <x:is>
          <x:t xml:space="preserve">VIX</x:t>
        </x:is>
      </x:c>
      <x:c r="B91" s="7" t="n">
        <x:v>46262</x:v>
      </x:c>
      <x:c r="C91" t="inlineStr">
        <x:is>
          <x:t xml:space="preserve">2026Q2</x:t>
        </x:is>
      </x:c>
      <x:c r="D91" t="inlineStr">
        <x:is>
          <x:t xml:space="preserve">vnstock</x:t>
        </x:is>
      </x:c>
      <x:c r="E91" t="n">
        <x:v>0</x:v>
      </x:c>
    </x:row>
    <x:row r="92">
      <x:c r="A92" t="inlineStr">
        <x:is>
          <x:t xml:space="preserve">VJC</x:t>
        </x:is>
      </x:c>
      <x:c r="B92" s="7" t="n">
        <x:v>46262</x:v>
      </x:c>
      <x:c r="C92" t="inlineStr">
        <x:is>
          <x:t xml:space="preserve">2026Q2</x:t>
        </x:is>
      </x:c>
      <x:c r="D92" t="inlineStr">
        <x:is>
          <x:t xml:space="preserve">vnstock</x:t>
        </x:is>
      </x:c>
      <x:c r="E92" t="n">
        <x:v>0</x:v>
      </x:c>
    </x:row>
    <x:row r="93">
      <x:c r="A93" t="inlineStr">
        <x:is>
          <x:t xml:space="preserve">VND</x:t>
        </x:is>
      </x:c>
      <x:c r="B93" s="7" t="n">
        <x:v>46262</x:v>
      </x:c>
      <x:c r="C93" t="inlineStr">
        <x:is>
          <x:t xml:space="preserve">2026Q2</x:t>
        </x:is>
      </x:c>
      <x:c r="D93" t="inlineStr">
        <x:is>
          <x:t xml:space="preserve">vnstock</x:t>
        </x:is>
      </x:c>
      <x:c r="E93" t="n">
        <x:v>0</x:v>
      </x:c>
    </x:row>
    <x:row r="94">
      <x:c r="A94" t="inlineStr">
        <x:is>
          <x:t xml:space="preserve">VNM</x:t>
        </x:is>
      </x:c>
      <x:c r="B94" s="7" t="n">
        <x:v>46262</x:v>
      </x:c>
      <x:c r="C94" t="inlineStr">
        <x:is>
          <x:t xml:space="preserve">2026Q2</x:t>
        </x:is>
      </x:c>
      <x:c r="D94" t="inlineStr">
        <x:is>
          <x:t xml:space="preserve">vnstock</x:t>
        </x:is>
      </x:c>
      <x:c r="E94" t="n">
        <x:v>0</x:v>
      </x:c>
    </x:row>
    <x:row r="95">
      <x:c r="A95" t="inlineStr">
        <x:is>
          <x:t xml:space="preserve">VPB</x:t>
        </x:is>
      </x:c>
      <x:c r="B95" s="7" t="n">
        <x:v>46262</x:v>
      </x:c>
      <x:c r="C95" t="inlineStr">
        <x:is>
          <x:t xml:space="preserve">2026Q2</x:t>
        </x:is>
      </x:c>
      <x:c r="D95" t="inlineStr">
        <x:is>
          <x:t xml:space="preserve">vnstock</x:t>
        </x:is>
      </x:c>
      <x:c r="E95" t="n">
        <x:v>0</x:v>
      </x:c>
    </x:row>
    <x:row r="96">
      <x:c r="A96" t="inlineStr">
        <x:is>
          <x:t xml:space="preserve">VPI</x:t>
        </x:is>
      </x:c>
      <x:c r="B96" s="7" t="n">
        <x:v>46262</x:v>
      </x:c>
      <x:c r="C96" t="inlineStr">
        <x:is>
          <x:t xml:space="preserve">2026Q2</x:t>
        </x:is>
      </x:c>
      <x:c r="D96" t="inlineStr">
        <x:is>
          <x:t xml:space="preserve">vnstock</x:t>
        </x:is>
      </x:c>
      <x:c r="E96" t="n">
        <x:v>0</x:v>
      </x:c>
    </x:row>
    <x:row r="97">
      <x:c r="A97" t="inlineStr">
        <x:is>
          <x:t xml:space="preserve">VPL</x:t>
        </x:is>
      </x:c>
      <x:c r="B97" s="7" t="n">
        <x:v>46262</x:v>
      </x:c>
      <x:c r="C97" t="inlineStr">
        <x:is>
          <x:t xml:space="preserve">2026Q2</x:t>
        </x:is>
      </x:c>
      <x:c r="D97" t="inlineStr">
        <x:is>
          <x:t xml:space="preserve">vnstock</x:t>
        </x:is>
      </x:c>
      <x:c r="E97" t="n">
        <x:v>0</x:v>
      </x:c>
    </x:row>
    <x:row r="98">
      <x:c r="A98" t="inlineStr">
        <x:is>
          <x:t xml:space="preserve">VPX</x:t>
        </x:is>
      </x:c>
      <x:c r="B98" s="7" t="n">
        <x:v>46262</x:v>
      </x:c>
      <x:c r="C98" t="inlineStr">
        <x:is>
          <x:t xml:space="preserve">2026Q2</x:t>
        </x:is>
      </x:c>
      <x:c r="D98" t="inlineStr">
        <x:is>
          <x:t xml:space="preserve">vnstock</x:t>
        </x:is>
      </x:c>
      <x:c r="E98" t="n">
        <x:v>0</x:v>
      </x:c>
    </x:row>
    <x:row r="99">
      <x:c r="A99" t="inlineStr">
        <x:is>
          <x:t xml:space="preserve">VRE</x:t>
        </x:is>
      </x:c>
      <x:c r="B99" s="7" t="n">
        <x:v>46262</x:v>
      </x:c>
      <x:c r="C99" t="inlineStr">
        <x:is>
          <x:t xml:space="preserve">2026Q2</x:t>
        </x:is>
      </x:c>
      <x:c r="D99" t="inlineStr">
        <x:is>
          <x:t xml:space="preserve">vnstock</x:t>
        </x:is>
      </x:c>
      <x:c r="E99" t="n">
        <x:v>0</x:v>
      </x:c>
    </x:row>
    <x:row r="100">
      <x:c r="A100" t="inlineStr">
        <x:is>
          <x:t xml:space="preserve">VSC</x:t>
        </x:is>
      </x:c>
      <x:c r="B100" s="7" t="n">
        <x:v>46262</x:v>
      </x:c>
      <x:c r="C100" t="inlineStr">
        <x:is>
          <x:t xml:space="preserve">2026Q2</x:t>
        </x:is>
      </x:c>
      <x:c r="D100" t="inlineStr">
        <x:is>
          <x:t xml:space="preserve">vnstock</x:t>
        </x:is>
      </x:c>
      <x:c r="E100" t="n">
        <x:v>0</x:v>
      </x:c>
    </x:row>
    <x:row r="101">
      <x:c r="A101" t="inlineStr">
        <x:is>
          <x:t xml:space="preserve">VTP</x:t>
        </x:is>
      </x:c>
      <x:c r="B101" s="7" t="n">
        <x:v>46262</x:v>
      </x:c>
      <x:c r="C101" t="inlineStr">
        <x:is>
          <x:t xml:space="preserve">2026Q2</x:t>
        </x:is>
      </x:c>
      <x:c r="D101" t="inlineStr">
        <x:is>
          <x:t xml:space="preserve">vnstock</x:t>
        </x:is>
      </x:c>
      <x:c r="E10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3" customWidth="1"/>
    <x:col min="2" max="2" width="10" customWidth="1"/>
  </x:cols>
  <x:sheetData>
    <x:row r="1">
      <x:c r="A1" s="1" t="inlineStr">
        <x:is>
          <x:t xml:space="preserve">Cờ</x:t>
        </x:is>
      </x:c>
      <x:c r="B1" s="1" t="inlineStr">
        <x:is>
          <x:t xml:space="preserve">Số mã</x:t>
        </x:is>
      </x:c>
    </x:row>
    <x:row r="2">
      <x:c r="A2" t="inlineStr">
        <x:is>
          <x:t xml:space="preserve">DOWNSIDE_EXTREME_REVIEW</x:t>
        </x:is>
      </x:c>
      <x:c r="B2" t="n">
        <x:v>21</x:v>
      </x:c>
    </x:row>
    <x:row r="3">
      <x:c r="A3" t="inlineStr">
        <x:is>
          <x:t xml:space="preserve">VALUATION_PROXY</x:t>
        </x:is>
      </x:c>
      <x:c r="B3" t="n">
        <x:v>20</x:v>
      </x:c>
    </x:row>
    <x:row r="4">
      <x:c r="A4" t="inlineStr">
        <x:is>
          <x:t xml:space="preserve">SEC_ROE_BELOW_COE</x:t>
        </x:is>
      </x:c>
      <x:c r="B4" t="n">
        <x:v>10</x:v>
      </x:c>
    </x:row>
    <x:row r="5">
      <x:c r="A5" t="inlineStr">
        <x:is>
          <x:t xml:space="preserve">FV_FAR_BELOW_PRICE</x:t>
        </x:is>
      </x:c>
      <x:c r="B5" t="n">
        <x:v>9</x:v>
      </x:c>
    </x:row>
    <x:row r="6">
      <x:c r="A6" t="inlineStr">
        <x:is>
          <x:t xml:space="preserve">NOT_RATEABLE</x:t>
        </x:is>
      </x:c>
      <x:c r="B6" t="n">
        <x:v>7</x:v>
      </x:c>
    </x:row>
    <x:row r="7">
      <x:c r="A7" t="inlineStr">
        <x:is>
          <x:t xml:space="preserve">SEC_PB_FAR_BELOW_MARKET</x:t>
        </x:is>
      </x:c>
      <x:c r="B7" t="n">
        <x:v>6</x:v>
      </x:c>
    </x:row>
    <x:row r="8">
      <x:c r="A8" t="inlineStr">
        <x:is>
          <x:t xml:space="preserve">DDM_BLEND</x:t>
        </x:is>
      </x:c>
      <x:c r="B8" t="n">
        <x:v>5</x:v>
      </x:c>
    </x:row>
    <x:row r="9">
      <x:c r="A9" t="inlineStr">
        <x:is>
          <x:t xml:space="preserve">NEGATIVE_EQUITY_VALUE_DCF</x:t>
        </x:is>
      </x:c>
      <x:c r="B9" t="n">
        <x:v>4</x:v>
      </x:c>
    </x:row>
    <x:row r="10">
      <x:c r="A10" t="inlineStr">
        <x:is>
          <x:t xml:space="preserve">CREDIT_GROWTH_CAPPED</x:t>
        </x:is>
      </x:c>
      <x:c r="B10" t="n">
        <x:v>4</x:v>
      </x:c>
    </x:row>
    <x:row r="11">
      <x:c r="A11" t="inlineStr">
        <x:is>
          <x:t xml:space="preserve">SEC_TERMINAL_ROE_CLAMPED</x:t>
        </x:is>
      </x:c>
      <x:c r="B11" t="n">
        <x:v>2</x:v>
      </x:c>
    </x:row>
    <x:row r="12">
      <x:c r="A12" t="inlineStr">
        <x:is>
          <x:t xml:space="preserve">EBITDA_NORMALIZED_CYCLICAL</x:t>
        </x:is>
      </x:c>
      <x:c r="B12" t="n">
        <x:v>2</x:v>
      </x:c>
    </x:row>
    <x:row r="13">
      <x:c r="A13" t="inlineStr">
        <x:is>
          <x:t xml:space="preserve">UPSIDE_EXTREME_REVIEW</x:t>
        </x:is>
      </x:c>
      <x:c r="B13" t="n">
        <x:v>2</x:v>
      </x:c>
    </x:row>
    <x:row r="14">
      <x:c r="A14" t="inlineStr">
        <x:is>
          <x:t xml:space="preserve">PROXY_IMPLAUSIBLE</x:t>
        </x:is>
      </x:c>
      <x:c r="B14" t="n">
        <x:v>2</x:v>
      </x:c>
    </x:row>
    <x:row r="15">
      <x:c r="A15" t="inlineStr">
        <x:is>
          <x:t xml:space="preserve">NOT_RATED</x:t>
        </x:is>
      </x:c>
      <x:c r="B15" t="n">
        <x:v>2</x:v>
      </x:c>
    </x:row>
    <x:row r="16">
      <x:c r="A16" t="inlineStr">
        <x:is>
          <x:t xml:space="preserve">INS_PB_FAR_BELOW_MARKET</x:t>
        </x:is>
      </x:c>
      <x:c r="B16" t="n">
        <x:v>1</x:v>
      </x:c>
    </x:row>
    <x:row r="17">
      <x:c r="A17" t="inlineStr">
        <x:is>
          <x:t xml:space="preserve">EARNINGS_NORMALIZED_CYCLICAL</x:t>
        </x:is>
      </x:c>
      <x:c r="B17" t="n">
        <x:v>1</x:v>
      </x:c>
    </x:row>
    <x:row r="18">
      <x:c r="A18" t="inlineStr">
        <x:is>
          <x:t xml:space="preserve">NEGATIVE_EQUITY_VALUE_EV_EBITDA</x:t>
        </x:is>
      </x:c>
      <x:c r="B18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19" customWidth="1"/>
    <x:col min="4" max="4" width="47" customWidth="1"/>
    <x:col min="5" max="5" width="48" customWidth="1"/>
  </x:cols>
  <x:sheetData>
    <x:row r="1">
      <x:c r="A1" s="1" t="inlineStr">
        <x:is>
          <x:t xml:space="preserve">Dữ liệu</x:t>
        </x:is>
      </x:c>
      <x:c r="B1" s="1" t="inlineStr">
        <x:is>
          <x:t xml:space="preserve">Kỳ/Ngày</x:t>
        </x:is>
      </x:c>
      <x:c r="C1" s="1" t="inlineStr">
        <x:is>
          <x:t xml:space="preserve">Giá trị</x:t>
        </x:is>
      </x:c>
      <x:c r="D1" s="1" t="inlineStr">
        <x:is>
          <x:t xml:space="preserve">Nguồn</x:t>
        </x:is>
      </x:c>
      <x:c r="E1" s="1" t="inlineStr">
        <x:is>
          <x:t xml:space="preserve">URL</x:t>
        </x:is>
      </x:c>
    </x:row>
    <x:row r="2">
      <x:c r="A2" t="inlineStr">
        <x:is>
          <x:t xml:space="preserve">Danh mục VN100</x:t>
        </x:is>
      </x:c>
      <x:c r="B2" t="inlineStr">
        <x:is>
          <x:t xml:space="preserve">2026-08-29</x:t>
        </x:is>
      </x:c>
      <x:c r="C2" t="inlineStr">
        <x:is>
          <x:t xml:space="preserve">100 mã</x:t>
        </x:is>
      </x:c>
      <x:c r="D2" t="inlineStr">
        <x:is>
          <x:t xml:space="preserve">vnstock VCI Listing.symbols_by_group('VN100')</x:t>
        </x:is>
      </x:c>
      <x:c r="E2" t="inlineStr">
        <x:is>
          <x:t xml:space="preserve">https://staticfile.hsx.vn/Uploads/UploadDocuments/2479382/15072026%20CBTT%20-%20Danh%20muc%20thanh%20phan%20HOSE-Index%20thang%207.2026.pdf</x:t>
        </x:is>
      </x:c>
    </x:row>
    <x:row r="3">
      <x:c r="A3" t="inlineStr">
        <x:is>
          <x:t xml:space="preserve">TPCP Việt Nam 10 năm</x:t>
        </x:is>
      </x:c>
      <x:c r="B3" s="7" t="n">
        <x:v>46234</x:v>
      </x:c>
      <x:c r="C3" t="n">
        <x:v>0.0436</x:v>
      </x:c>
      <x:c r="D3" t="inlineStr">
        <x:is>
          <x:t xml:space="preserve">hnx.vn</x:t>
        </x:is>
      </x:c>
      <x:c r="E3" t="inlineStr">
        <x:is>
          <x:t xml:space="preserve">https://www.hnx.vn/vi-vn/chi-tiet-tin-60023234-0.html</x:t>
        </x:is>
      </x:c>
    </x:row>
    <x:row r="4">
      <x:c r="A4" t="inlineStr">
        <x:is>
          <x:t xml:space="preserve">BCTC và giá</x:t>
        </x:is>
      </x:c>
      <x:c r="B4" s="7" t="n">
        <x:v>46263</x:v>
      </x:c>
      <x:c r="C4" t="inlineStr">
        <x:is>
          <x:t xml:space="preserve">Consolidated, VND</x:t>
        </x:is>
      </x:c>
      <x:c r="D4" t="inlineStr">
        <x:is>
          <x:t xml:space="preserve">vnstock/VCI</x:t>
        </x:is>
      </x:c>
      <x:c r="E4" t="inlineStr">
        <x:is>
          <x:t xml:space="preserve">https://vnstocks.com/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54" hidden="0" customWidth="1"/>
  </x:cols>
  <x:sheetData>
    <x:row r="1" ht="36" hidden="0" customHeight="1">
      <x:c r="A1" s="28" t="str">
        <x:v>KIỂM TRA CHẤT LƯỢNG BATCH ĐỊNH GIÁ VN100</x:v>
      </x:c>
      <x:c r="B1" s="28"/>
      <x:c r="C1" s="28"/>
      <x:c r="D1" s="28"/>
      <x:c r="E1" s="28"/>
      <x:c r="F1" s="28"/>
    </x:row>
    <x:row r="2" ht="39.599998474121094" hidden="0" customHeight="1">
      <x:c r="A2" s="14" t="str">
        <x:v>Trạng thái REVIEW không có nghĩa file lỗi; nó cho biết kết quả còn proxy, extreme, thiếu published_at hoặc mã không đủ điều kiện định giá.</x:v>
      </x:c>
      <x:c r="B2" s="14"/>
      <x:c r="C2" s="14"/>
      <x:c r="D2" s="14"/>
      <x:c r="E2" s="14"/>
      <x:c r="F2" s="14"/>
    </x:row>
    <x:row r="3" ht="26.399999618530273" hidden="0" customHeight="1">
      <x:c r="A3" s="29" t="str">
        <x:v>Hạng mục</x:v>
      </x:c>
      <x:c r="B3" s="29" t="str">
        <x:v>Thực tế</x:v>
      </x:c>
      <x:c r="C3" s="29" t="str">
        <x:v>Kỳ vọng</x:v>
      </x:c>
      <x:c r="D3" s="29" t="str">
        <x:v>Chênh lệch</x:v>
      </x:c>
      <x:c r="E3" s="29" t="str">
        <x:v>Trạng thái</x:v>
      </x:c>
      <x:c r="F3" s="29" t="str">
        <x:v>Ghi chú</x:v>
      </x:c>
    </x:row>
    <x:row r="4" ht="79.19999694824219" hidden="0" customHeight="1">
      <x:c r="A4" s="30" t="str">
        <x:v>Số mã trong bảng</x:v>
      </x:c>
      <x:c r="B4" s="31" t="n">
        <x:f>COUNTA('VN100_Valuations'!A2:A101)</x:f>
        <x:v>100</x:v>
      </x:c>
      <x:c r="C4" s="31" t="n">
        <x:v>100</x:v>
      </x:c>
      <x:c r="D4" s="31" t="n">
        <x:f>B4-C4</x:f>
        <x:v>0</x:v>
      </x:c>
      <x:c r="E4" s="31" t="str">
        <x:f>IF(D4=0,"OK","REVIEW")</x:f>
        <x:v>OK</x:v>
      </x:c>
      <x:c r="F4" s="30" t="str">
        <x:v>Phải đúng 100 mã theo snapshot 2026-08-29</x:v>
      </x:c>
    </x:row>
    <x:row r="5" ht="52.79999923706055" hidden="0" customHeight="1">
      <x:c r="A5" s="30" t="str">
        <x:v>Mã có ngày giá</x:v>
      </x:c>
      <x:c r="B5" s="31" t="n">
        <x:f>COUNT('Data_Quality'!B2:B101)</x:f>
        <x:v>100</x:v>
      </x:c>
      <x:c r="C5" s="31" t="n">
        <x:v>100</x:v>
      </x:c>
      <x:c r="D5" s="31" t="n">
        <x:f>B5-C5</x:f>
        <x:v>0</x:v>
      </x:c>
      <x:c r="E5" s="31" t="str">
        <x:f>IF(D5=0,"OK","REVIEW")</x:f>
        <x:v>OK</x:v>
      </x:c>
      <x:c r="F5" s="30" t="str">
        <x:v>Giá mới nhất phải có cho toàn rổ</x:v>
      </x:c>
    </x:row>
    <x:row r="6" ht="66" hidden="0" customHeight="1">
      <x:c r="A6" s="30" t="str">
        <x:v>Mã có kỳ BCTC</x:v>
      </x:c>
      <x:c r="B6" s="31" t="n">
        <x:f>COUNTIF('Data_Quality'!C2:C101,"&lt;&gt;")</x:f>
        <x:v>100</x:v>
      </x:c>
      <x:c r="C6" s="31" t="n">
        <x:v>100</x:v>
      </x:c>
      <x:c r="D6" s="31" t="n">
        <x:f>B6-C6</x:f>
        <x:v>0</x:v>
      </x:c>
      <x:c r="E6" s="31" t="str">
        <x:f>IF(D6=0,"OK","REVIEW")</x:f>
        <x:v>OK</x:v>
      </x:c>
      <x:c r="F6" s="30" t="str">
        <x:v>Kỳ BCTC mới nhất phải có cho toàn rổ</x:v>
      </x:c>
    </x:row>
    <x:row r="7" ht="66" hidden="0" customHeight="1">
      <x:c r="A7" s="30" t="str">
        <x:v>Mã còn cờ stale</x:v>
      </x:c>
      <x:c r="B7" s="31" t="n">
        <x:f>SUMIF('Flag_Summary'!A2:A18,"STALE_PRICE",'Flag_Summary'!B2:B18)+SUMIF('Flag_Summary'!A2:A18,"STALE_MACRO_RF",'Flag_Summary'!B2:B18)</x:f>
        <x:v>0</x:v>
      </x:c>
      <x:c r="C7" s="31" t="n">
        <x:v>0</x:v>
      </x:c>
      <x:c r="D7" s="31" t="n">
        <x:f>B7-C7</x:f>
        <x:v>0</x:v>
      </x:c>
      <x:c r="E7" s="31" t="str">
        <x:f>IF(D7=0,"OK","REVIEW")</x:f>
        <x:v>OK</x:v>
      </x:c>
      <x:c r="F7" s="30" t="str">
        <x:v>Giá và TPCP 10Y không được quá hạn</x:v>
      </x:c>
    </x:row>
    <x:row r="8" ht="66" hidden="0" customHeight="1">
      <x:c r="A8" s="30" t="str">
        <x:v>Mã không định giá</x:v>
      </x:c>
      <x:c r="B8" s="31" t="n">
        <x:f>COUNTIF('VN100_Valuations'!H2:H101,"Không định giá")</x:f>
        <x:v>7</x:v>
      </x:c>
      <x:c r="C8" s="31" t="n">
        <x:v>0</x:v>
      </x:c>
      <x:c r="D8" s="31" t="n">
        <x:f>B8-C8</x:f>
        <x:v>7</x:v>
      </x:c>
      <x:c r="E8" s="31" t="str">
        <x:f>IF(D8=0,"OK","REVIEW")</x:f>
        <x:v>REVIEW</x:v>
      </x:c>
      <x:c r="F8" s="30" t="str">
        <x:v>Không ép equity value âm thành giá mục tiêu 0</x:v>
      </x:c>
    </x:row>
    <x:row r="9" ht="92.4000015258789" hidden="0" customHeight="1">
      <x:c r="A9" s="30" t="str">
        <x:v>Mã dùng proxy</x:v>
      </x:c>
      <x:c r="B9" s="31" t="n">
        <x:f>SUMIF('Flag_Summary'!A2:A18,"VALUATION_PROXY",'Flag_Summary'!B2:B18)</x:f>
        <x:v>20</x:v>
      </x:c>
      <x:c r="C9" s="31" t="n">
        <x:v>0</x:v>
      </x:c>
      <x:c r="D9" s="31" t="n">
        <x:f>B9-C9</x:f>
        <x:v>20</x:v>
      </x:c>
      <x:c r="E9" s="31" t="str">
        <x:f>IF(D9=0,"OK","REVIEW")</x:f>
        <x:v>REVIEW</x:v>
      </x:c>
      <x:c r="F9" s="30" t="str">
        <x:v>RNAV/SOTP proxy không phải khuyến nghị đầu tư</x:v>
      </x:c>
    </x:row>
    <x:row r="10" ht="52.79999923706055" hidden="0" customHeight="1">
      <x:c r="A10" s="30" t="str">
        <x:v>Mã có extreme flag</x:v>
      </x:c>
      <x:c r="B10" s="31" t="n">
        <x:f>SUMIF('Flag_Summary'!A2:A18,"UPSIDE_EXTREME_REVIEW",'Flag_Summary'!B2:B18)+SUMIF('Flag_Summary'!A2:A18,"DOWNSIDE_EXTREME_REVIEW",'Flag_Summary'!B2:B18)</x:f>
        <x:v>23</x:v>
      </x:c>
      <x:c r="C10" s="31" t="n">
        <x:v>0</x:v>
      </x:c>
      <x:c r="D10" s="31" t="n">
        <x:f>B10-C10</x:f>
        <x:v>23</x:v>
      </x:c>
      <x:c r="E10" s="31" t="str">
        <x:f>IF(D10=0,"OK","REVIEW")</x:f>
        <x:v>REVIEW</x:v>
      </x:c>
      <x:c r="F10" s="30" t="str">
        <x:v>Biến động lớn cần analyst review</x:v>
      </x:c>
    </x:row>
    <x:row r="11" ht="79.19999694824219" hidden="0" customHeight="1">
      <x:c r="A11" s="30" t="str">
        <x:v>Mã có published_at</x:v>
      </x:c>
      <x:c r="B11" s="31" t="n">
        <x:f>COUNTIF('Data_Quality'!E2:E101,"&gt;0")</x:f>
        <x:v>0</x:v>
      </x:c>
      <x:c r="C11" s="31" t="n">
        <x:v>100</x:v>
      </x:c>
      <x:c r="D11" s="31" t="n">
        <x:f>B11-C11</x:f>
        <x:v>-100</x:v>
      </x:c>
      <x:c r="E11" s="31" t="str">
        <x:f>IF(D11=0,"OK","REVIEW")</x:f>
        <x:v>REVIEW</x:v>
      </x:c>
      <x:c r="F11" s="30" t="str">
        <x:v>Provider chưa cung cấp ngày công bố cho phần lớn dữ liệu</x:v>
      </x:c>
    </x:row>
    <x:row r="12" ht="15" hidden="0" customHeight="1">
      <x:c r="A12" s="32"/>
      <x:c r="B12" s="32"/>
      <x:c r="C12" s="32"/>
      <x:c r="D12" s="32"/>
      <x:c r="E12" s="32"/>
      <x:c r="F12" s="32"/>
    </x:row>
    <x:row r="13" ht="15" hidden="0" customHeight="1">
      <x:c r="A13" s="33" t="str">
        <x:v>TRẠNG THÁI TỔNG</x:v>
      </x:c>
      <x:c r="B13" s="34"/>
      <x:c r="C13" s="34"/>
      <x:c r="D13" s="34"/>
      <x:c r="E13" s="34" t="str">
        <x:f>IF(COUNTIF(E4:E11,"REVIEW")=0,"OK","REVIEW")</x:f>
        <x:v>REVIEW</x:v>
      </x:c>
      <x:c r="F13" s="35"/>
    </x:row>
  </x:sheetData>
  <x:mergeCells>
    <x:mergeCell ref="A1:F1"/>
    <x:mergeCell ref="A2:F2"/>
    <x:mergeCell ref="A13:D13"/>
    <x:mergeCell ref="E13:F13"/>
  </x:mergeCells>
  <x:conditionalFormatting sqref="E4:E11">
    <x:cfRule type="containsText" dxfId="0" priority="1" operator="containsText" text="OK"/>
    <x:cfRule type="containsText" dxfId="1" priority="2" operator="containsText" text="REVIEW"/>
  </x:conditionalFormatting>
  <x:conditionalFormatting sqref="E13:E13">
    <x:cfRule type="containsText" dxfId="2" priority="3" operator="containsText" text="REVIEW"/>
  </x:conditionalFormatting>
  <x:pageMargins left="0.7" right="0.7" top="0.75" bottom="0.75" header="0.3" footer="0.3"/>
</x:worksheet>
</file>